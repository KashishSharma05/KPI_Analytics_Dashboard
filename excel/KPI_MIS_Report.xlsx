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 Report" sheetId="1" state="visible" r:id="rId1"/>
    <sheet name="State Ranking" sheetId="2" state="visible" r:id="rId2"/>
    <sheet name="Top Categories" sheetId="3" state="visible" r:id="rId3"/>
    <sheet name="Data" sheetId="4" state="visible" r:id="rId4"/>
    <sheet name="CategoryData" sheetId="5" state="visible" r:id="rId5"/>
    <sheet name="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&quot;R$&quot; #,##0"/>
    <numFmt numFmtId="166" formatCode="&quot;R$&quot; #,##0.00"/>
    <numFmt numFmtId="167" formatCode="0.0&quot;%&quot;"/>
    <numFmt numFmtId="168" formatCode="0.0"/>
    <numFmt numFmtId="169" formatCode="mmm yyyy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4748B"/>
    </font>
    <font>
      <b val="1"/>
      <color rgb="00475569"/>
    </font>
    <font>
      <i val="1"/>
      <color rgb="0094A3B8"/>
    </font>
    <font>
      <b val="1"/>
      <color rgb="000F766E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165" fontId="5" fillId="0" borderId="0" pivotButton="0" quotePrefix="0" xfId="0"/>
    <xf numFmtId="3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9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'MIS Report'!D9</f>
            </strRef>
          </tx>
          <spPr>
            <a:ln>
              <a:prstDash val="solid"/>
            </a:ln>
          </spPr>
          <cat>
            <numRef>
              <f>'MIS Report'!$A$10:$A$29</f>
            </numRef>
          </cat>
          <val>
            <numRef>
              <f>'MIS Report'!$D$10:$D$29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Late delivery rate by month (%)</a:t>
            </a:r>
          </a:p>
        </rich>
      </tx>
    </title>
    <plotArea>
      <lineChart>
        <grouping val="standard"/>
        <ser>
          <idx val="0"/>
          <order val="0"/>
          <tx>
            <strRef>
              <f>'MIS Report'!G9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'MIS Report'!$A$10:$A$29</f>
            </numRef>
          </cat>
          <val>
            <numRef>
              <f>'MIS Report'!$G$10:$G$29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states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Ranking'!C4</f>
            </strRef>
          </tx>
          <spPr>
            <a:ln>
              <a:prstDash val="solid"/>
            </a:ln>
          </spPr>
          <cat>
            <numRef>
              <f>'State Ranking'!$A$5:$A$14</f>
            </numRef>
          </cat>
          <val>
            <numRef>
              <f>'State Ranking'!$C$5:$C$14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31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StateData" displayName="MonthlyStateData" ref="A1:J534" headerRowCount="1">
  <autoFilter ref="A1:J534"/>
  <tableColumns count="10">
    <tableColumn id="1" name="month_start"/>
    <tableColumn id="2" name="customer_state"/>
    <tableColumn id="3" name="orders"/>
    <tableColumn id="4" name="delivered_orders"/>
    <tableColumn id="5" name="revenue"/>
    <tableColumn id="6" name="late_orders"/>
    <tableColumn id="7" name="orders_with_delivery_date"/>
    <tableColumn id="8" name="delivery_days_sum"/>
    <tableColumn id="9" name="reviews"/>
    <tableColumn id="10" name="review_score_sum"/>
  </tableColumns>
  <tableStyleInfo name="TableStyleLight9" showRowStripes="1"/>
</table>
</file>

<file path=xl/tables/table2.xml><?xml version="1.0" encoding="utf-8"?>
<table xmlns="http://schemas.openxmlformats.org/spreadsheetml/2006/main" id="2" name="MonthlyCategoryData" displayName="MonthlyCategoryData" ref="A1:E1242" headerRowCount="1">
  <autoFilter ref="A1:E1242"/>
  <tableColumns count="5">
    <tableColumn id="1" name="month_start"/>
    <tableColumn id="2" name="category"/>
    <tableColumn id="3" name="orders"/>
    <tableColumn id="4" name="items_sold"/>
    <tableColumn id="5" name="revenu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0" customHeight="1">
      <c r="A1" s="1" t="inlineStr">
        <is>
          <t>Monthly MIS Report: Sales and Delivery</t>
        </is>
      </c>
    </row>
    <row r="2">
      <c r="A2" s="2" t="inlineStr">
        <is>
          <t>Olist e-commerce, January 2017 to August 2018. Every number is a formula over the Data sheet.</t>
        </is>
      </c>
    </row>
    <row r="4">
      <c r="B4" s="3" t="inlineStr">
        <is>
          <t>Customer state</t>
        </is>
      </c>
      <c r="C4" s="4" t="inlineStr">
        <is>
          <t>All</t>
        </is>
      </c>
      <c r="D4" s="2" t="inlineStr">
        <is>
          <t>&lt;- choose a state from the list, or All</t>
        </is>
      </c>
      <c r="H4" s="5" t="inlineStr">
        <is>
          <t>filter used</t>
        </is>
      </c>
      <c r="I4">
        <f>IF($C$4="All","*",$C$4)</f>
        <v/>
      </c>
    </row>
    <row r="6">
      <c r="B6" s="3" t="inlineStr">
        <is>
          <t>Revenue</t>
        </is>
      </c>
      <c r="C6" s="3" t="inlineStr">
        <is>
          <t>Orders</t>
        </is>
      </c>
      <c r="D6" s="3" t="inlineStr">
        <is>
          <t>Average order value</t>
        </is>
      </c>
      <c r="E6" s="3" t="inlineStr">
        <is>
          <t>Late delivery rate</t>
        </is>
      </c>
      <c r="F6" s="3" t="inlineStr">
        <is>
          <t>Average delivery days</t>
        </is>
      </c>
      <c r="G6" s="3" t="inlineStr">
        <is>
          <t>Average review score</t>
        </is>
      </c>
    </row>
    <row r="7">
      <c r="B7" s="6">
        <f>SUMIFS(Data!$E$2:$E$534,Data!$B$2:$B$534,$I$4)</f>
        <v/>
      </c>
      <c r="C7" s="7">
        <f>SUMIFS(Data!$C$2:$C$534,Data!$B$2:$B$534,$I$4)</f>
        <v/>
      </c>
      <c r="D7" s="8">
        <f>IFERROR(SUMIFS(Data!$E$2:$E$534,Data!$B$2:$B$534,$I$4)/SUMIFS(Data!$D$2:$D$534,Data!$B$2:$B$534,$I$4),0)</f>
        <v/>
      </c>
      <c r="E7" s="9">
        <f>IFERROR(100*SUMIFS(Data!$F$2:$F$534,Data!$B$2:$B$534,$I$4)/SUMIFS(Data!$G$2:$G$534,Data!$B$2:$B$534,$I$4),0)</f>
        <v/>
      </c>
      <c r="F7" s="10">
        <f>IFERROR(SUMIFS(Data!$H$2:$H$534,Data!$B$2:$B$534,$I$4)/SUMIFS(Data!$G$2:$G$534,Data!$B$2:$B$534,$I$4),0)</f>
        <v/>
      </c>
      <c r="G7" s="11">
        <f>IFERROR(SUMIFS(Data!$J$2:$J$534,Data!$B$2:$B$534,$I$4)/SUMIFS(Data!$I$2:$I$534,Data!$B$2:$B$534,$I$4),0)</f>
        <v/>
      </c>
    </row>
    <row r="9" ht="32" customHeight="1">
      <c r="A9" s="12" t="inlineStr">
        <is>
          <t>Month</t>
        </is>
      </c>
      <c r="B9" s="12" t="inlineStr">
        <is>
          <t>Orders</t>
        </is>
      </c>
      <c r="C9" s="12" t="inlineStr">
        <is>
          <t>Delivered orders</t>
        </is>
      </c>
      <c r="D9" s="12" t="inlineStr">
        <is>
          <t>Revenue</t>
        </is>
      </c>
      <c r="E9" s="12" t="inlineStr">
        <is>
          <t>Revenue growth vs previous month</t>
        </is>
      </c>
      <c r="F9" s="12" t="inlineStr">
        <is>
          <t>Average order value</t>
        </is>
      </c>
      <c r="G9" s="12" t="inlineStr">
        <is>
          <t>Late delivery rate</t>
        </is>
      </c>
      <c r="H9" s="12" t="inlineStr">
        <is>
          <t>Average review score</t>
        </is>
      </c>
      <c r="I9" s="12" t="inlineStr">
        <is>
          <t>Running revenue</t>
        </is>
      </c>
    </row>
    <row r="10">
      <c r="A10" s="13" t="n">
        <v>42736</v>
      </c>
      <c r="B10" s="14">
        <f>SUMIFS(Data!$C$2:$C$534,Data!$A$2:$A$534,$A10,Data!$B$2:$B$534,$I$4)</f>
        <v/>
      </c>
      <c r="C10" s="14">
        <f>SUMIFS(Data!$D$2:$D$534,Data!$A$2:$A$534,$A10,Data!$B$2:$B$534,$I$4)</f>
        <v/>
      </c>
      <c r="D10" s="15">
        <f>SUMIFS(Data!$E$2:$E$534,Data!$A$2:$A$534,$A10,Data!$B$2:$B$534,$I$4)</f>
        <v/>
      </c>
      <c r="E10" s="16" t="inlineStr"/>
      <c r="F10" s="17">
        <f>IFERROR(D10/C10,0)</f>
        <v/>
      </c>
      <c r="G10" s="16">
        <f>IFERROR(100*SUMIFS(Data!$F$2:$F$534,Data!$A$2:$A$534,$A10,Data!$B$2:$B$534,$I$4)/SUMIFS(Data!$G$2:$G$534,Data!$A$2:$A$534,$A10,Data!$B$2:$B$534,$I$4),0)</f>
        <v/>
      </c>
      <c r="H10" s="18">
        <f>IFERROR(SUMIFS(Data!$J$2:$J$534,Data!$A$2:$A$534,$A10,Data!$B$2:$B$534,$I$4)/SUMIFS(Data!$I$2:$I$534,Data!$A$2:$A$534,$A10,Data!$B$2:$B$534,$I$4),0)</f>
        <v/>
      </c>
      <c r="I10" s="15">
        <f>SUM($D$10:D10)</f>
        <v/>
      </c>
    </row>
    <row r="11">
      <c r="A11" s="13" t="n">
        <v>42767</v>
      </c>
      <c r="B11" s="14">
        <f>SUMIFS(Data!$C$2:$C$534,Data!$A$2:$A$534,$A11,Data!$B$2:$B$534,$I$4)</f>
        <v/>
      </c>
      <c r="C11" s="14">
        <f>SUMIFS(Data!$D$2:$D$534,Data!$A$2:$A$534,$A11,Data!$B$2:$B$534,$I$4)</f>
        <v/>
      </c>
      <c r="D11" s="15">
        <f>SUMIFS(Data!$E$2:$E$534,Data!$A$2:$A$534,$A11,Data!$B$2:$B$534,$I$4)</f>
        <v/>
      </c>
      <c r="E11" s="16">
        <f>IFERROR(100*(D11-D10)/D10,0)</f>
        <v/>
      </c>
      <c r="F11" s="17">
        <f>IFERROR(D11/C11,0)</f>
        <v/>
      </c>
      <c r="G11" s="16">
        <f>IFERROR(100*SUMIFS(Data!$F$2:$F$534,Data!$A$2:$A$534,$A11,Data!$B$2:$B$534,$I$4)/SUMIFS(Data!$G$2:$G$534,Data!$A$2:$A$534,$A11,Data!$B$2:$B$534,$I$4),0)</f>
        <v/>
      </c>
      <c r="H11" s="18">
        <f>IFERROR(SUMIFS(Data!$J$2:$J$534,Data!$A$2:$A$534,$A11,Data!$B$2:$B$534,$I$4)/SUMIFS(Data!$I$2:$I$534,Data!$A$2:$A$534,$A11,Data!$B$2:$B$534,$I$4),0)</f>
        <v/>
      </c>
      <c r="I11" s="15">
        <f>SUM($D$10:D11)</f>
        <v/>
      </c>
    </row>
    <row r="12">
      <c r="A12" s="13" t="n">
        <v>42795</v>
      </c>
      <c r="B12" s="14">
        <f>SUMIFS(Data!$C$2:$C$534,Data!$A$2:$A$534,$A12,Data!$B$2:$B$534,$I$4)</f>
        <v/>
      </c>
      <c r="C12" s="14">
        <f>SUMIFS(Data!$D$2:$D$534,Data!$A$2:$A$534,$A12,Data!$B$2:$B$534,$I$4)</f>
        <v/>
      </c>
      <c r="D12" s="15">
        <f>SUMIFS(Data!$E$2:$E$534,Data!$A$2:$A$534,$A12,Data!$B$2:$B$534,$I$4)</f>
        <v/>
      </c>
      <c r="E12" s="16">
        <f>IFERROR(100*(D12-D11)/D11,0)</f>
        <v/>
      </c>
      <c r="F12" s="17">
        <f>IFERROR(D12/C12,0)</f>
        <v/>
      </c>
      <c r="G12" s="16">
        <f>IFERROR(100*SUMIFS(Data!$F$2:$F$534,Data!$A$2:$A$534,$A12,Data!$B$2:$B$534,$I$4)/SUMIFS(Data!$G$2:$G$534,Data!$A$2:$A$534,$A12,Data!$B$2:$B$534,$I$4),0)</f>
        <v/>
      </c>
      <c r="H12" s="18">
        <f>IFERROR(SUMIFS(Data!$J$2:$J$534,Data!$A$2:$A$534,$A12,Data!$B$2:$B$534,$I$4)/SUMIFS(Data!$I$2:$I$534,Data!$A$2:$A$534,$A12,Data!$B$2:$B$534,$I$4),0)</f>
        <v/>
      </c>
      <c r="I12" s="15">
        <f>SUM($D$10:D12)</f>
        <v/>
      </c>
    </row>
    <row r="13">
      <c r="A13" s="13" t="n">
        <v>42826</v>
      </c>
      <c r="B13" s="14">
        <f>SUMIFS(Data!$C$2:$C$534,Data!$A$2:$A$534,$A13,Data!$B$2:$B$534,$I$4)</f>
        <v/>
      </c>
      <c r="C13" s="14">
        <f>SUMIFS(Data!$D$2:$D$534,Data!$A$2:$A$534,$A13,Data!$B$2:$B$534,$I$4)</f>
        <v/>
      </c>
      <c r="D13" s="15">
        <f>SUMIFS(Data!$E$2:$E$534,Data!$A$2:$A$534,$A13,Data!$B$2:$B$534,$I$4)</f>
        <v/>
      </c>
      <c r="E13" s="16">
        <f>IFERROR(100*(D13-D12)/D12,0)</f>
        <v/>
      </c>
      <c r="F13" s="17">
        <f>IFERROR(D13/C13,0)</f>
        <v/>
      </c>
      <c r="G13" s="16">
        <f>IFERROR(100*SUMIFS(Data!$F$2:$F$534,Data!$A$2:$A$534,$A13,Data!$B$2:$B$534,$I$4)/SUMIFS(Data!$G$2:$G$534,Data!$A$2:$A$534,$A13,Data!$B$2:$B$534,$I$4),0)</f>
        <v/>
      </c>
      <c r="H13" s="18">
        <f>IFERROR(SUMIFS(Data!$J$2:$J$534,Data!$A$2:$A$534,$A13,Data!$B$2:$B$534,$I$4)/SUMIFS(Data!$I$2:$I$534,Data!$A$2:$A$534,$A13,Data!$B$2:$B$534,$I$4),0)</f>
        <v/>
      </c>
      <c r="I13" s="15">
        <f>SUM($D$10:D13)</f>
        <v/>
      </c>
    </row>
    <row r="14">
      <c r="A14" s="13" t="n">
        <v>42856</v>
      </c>
      <c r="B14" s="14">
        <f>SUMIFS(Data!$C$2:$C$534,Data!$A$2:$A$534,$A14,Data!$B$2:$B$534,$I$4)</f>
        <v/>
      </c>
      <c r="C14" s="14">
        <f>SUMIFS(Data!$D$2:$D$534,Data!$A$2:$A$534,$A14,Data!$B$2:$B$534,$I$4)</f>
        <v/>
      </c>
      <c r="D14" s="15">
        <f>SUMIFS(Data!$E$2:$E$534,Data!$A$2:$A$534,$A14,Data!$B$2:$B$534,$I$4)</f>
        <v/>
      </c>
      <c r="E14" s="16">
        <f>IFERROR(100*(D14-D13)/D13,0)</f>
        <v/>
      </c>
      <c r="F14" s="17">
        <f>IFERROR(D14/C14,0)</f>
        <v/>
      </c>
      <c r="G14" s="16">
        <f>IFERROR(100*SUMIFS(Data!$F$2:$F$534,Data!$A$2:$A$534,$A14,Data!$B$2:$B$534,$I$4)/SUMIFS(Data!$G$2:$G$534,Data!$A$2:$A$534,$A14,Data!$B$2:$B$534,$I$4),0)</f>
        <v/>
      </c>
      <c r="H14" s="18">
        <f>IFERROR(SUMIFS(Data!$J$2:$J$534,Data!$A$2:$A$534,$A14,Data!$B$2:$B$534,$I$4)/SUMIFS(Data!$I$2:$I$534,Data!$A$2:$A$534,$A14,Data!$B$2:$B$534,$I$4),0)</f>
        <v/>
      </c>
      <c r="I14" s="15">
        <f>SUM($D$10:D14)</f>
        <v/>
      </c>
    </row>
    <row r="15">
      <c r="A15" s="13" t="n">
        <v>42887</v>
      </c>
      <c r="B15" s="14">
        <f>SUMIFS(Data!$C$2:$C$534,Data!$A$2:$A$534,$A15,Data!$B$2:$B$534,$I$4)</f>
        <v/>
      </c>
      <c r="C15" s="14">
        <f>SUMIFS(Data!$D$2:$D$534,Data!$A$2:$A$534,$A15,Data!$B$2:$B$534,$I$4)</f>
        <v/>
      </c>
      <c r="D15" s="15">
        <f>SUMIFS(Data!$E$2:$E$534,Data!$A$2:$A$534,$A15,Data!$B$2:$B$534,$I$4)</f>
        <v/>
      </c>
      <c r="E15" s="16">
        <f>IFERROR(100*(D15-D14)/D14,0)</f>
        <v/>
      </c>
      <c r="F15" s="17">
        <f>IFERROR(D15/C15,0)</f>
        <v/>
      </c>
      <c r="G15" s="16">
        <f>IFERROR(100*SUMIFS(Data!$F$2:$F$534,Data!$A$2:$A$534,$A15,Data!$B$2:$B$534,$I$4)/SUMIFS(Data!$G$2:$G$534,Data!$A$2:$A$534,$A15,Data!$B$2:$B$534,$I$4),0)</f>
        <v/>
      </c>
      <c r="H15" s="18">
        <f>IFERROR(SUMIFS(Data!$J$2:$J$534,Data!$A$2:$A$534,$A15,Data!$B$2:$B$534,$I$4)/SUMIFS(Data!$I$2:$I$534,Data!$A$2:$A$534,$A15,Data!$B$2:$B$534,$I$4),0)</f>
        <v/>
      </c>
      <c r="I15" s="15">
        <f>SUM($D$10:D15)</f>
        <v/>
      </c>
    </row>
    <row r="16">
      <c r="A16" s="13" t="n">
        <v>42917</v>
      </c>
      <c r="B16" s="14">
        <f>SUMIFS(Data!$C$2:$C$534,Data!$A$2:$A$534,$A16,Data!$B$2:$B$534,$I$4)</f>
        <v/>
      </c>
      <c r="C16" s="14">
        <f>SUMIFS(Data!$D$2:$D$534,Data!$A$2:$A$534,$A16,Data!$B$2:$B$534,$I$4)</f>
        <v/>
      </c>
      <c r="D16" s="15">
        <f>SUMIFS(Data!$E$2:$E$534,Data!$A$2:$A$534,$A16,Data!$B$2:$B$534,$I$4)</f>
        <v/>
      </c>
      <c r="E16" s="16">
        <f>IFERROR(100*(D16-D15)/D15,0)</f>
        <v/>
      </c>
      <c r="F16" s="17">
        <f>IFERROR(D16/C16,0)</f>
        <v/>
      </c>
      <c r="G16" s="16">
        <f>IFERROR(100*SUMIFS(Data!$F$2:$F$534,Data!$A$2:$A$534,$A16,Data!$B$2:$B$534,$I$4)/SUMIFS(Data!$G$2:$G$534,Data!$A$2:$A$534,$A16,Data!$B$2:$B$534,$I$4),0)</f>
        <v/>
      </c>
      <c r="H16" s="18">
        <f>IFERROR(SUMIFS(Data!$J$2:$J$534,Data!$A$2:$A$534,$A16,Data!$B$2:$B$534,$I$4)/SUMIFS(Data!$I$2:$I$534,Data!$A$2:$A$534,$A16,Data!$B$2:$B$534,$I$4),0)</f>
        <v/>
      </c>
      <c r="I16" s="15">
        <f>SUM($D$10:D16)</f>
        <v/>
      </c>
    </row>
    <row r="17">
      <c r="A17" s="13" t="n">
        <v>42948</v>
      </c>
      <c r="B17" s="14">
        <f>SUMIFS(Data!$C$2:$C$534,Data!$A$2:$A$534,$A17,Data!$B$2:$B$534,$I$4)</f>
        <v/>
      </c>
      <c r="C17" s="14">
        <f>SUMIFS(Data!$D$2:$D$534,Data!$A$2:$A$534,$A17,Data!$B$2:$B$534,$I$4)</f>
        <v/>
      </c>
      <c r="D17" s="15">
        <f>SUMIFS(Data!$E$2:$E$534,Data!$A$2:$A$534,$A17,Data!$B$2:$B$534,$I$4)</f>
        <v/>
      </c>
      <c r="E17" s="16">
        <f>IFERROR(100*(D17-D16)/D16,0)</f>
        <v/>
      </c>
      <c r="F17" s="17">
        <f>IFERROR(D17/C17,0)</f>
        <v/>
      </c>
      <c r="G17" s="16">
        <f>IFERROR(100*SUMIFS(Data!$F$2:$F$534,Data!$A$2:$A$534,$A17,Data!$B$2:$B$534,$I$4)/SUMIFS(Data!$G$2:$G$534,Data!$A$2:$A$534,$A17,Data!$B$2:$B$534,$I$4),0)</f>
        <v/>
      </c>
      <c r="H17" s="18">
        <f>IFERROR(SUMIFS(Data!$J$2:$J$534,Data!$A$2:$A$534,$A17,Data!$B$2:$B$534,$I$4)/SUMIFS(Data!$I$2:$I$534,Data!$A$2:$A$534,$A17,Data!$B$2:$B$534,$I$4),0)</f>
        <v/>
      </c>
      <c r="I17" s="15">
        <f>SUM($D$10:D17)</f>
        <v/>
      </c>
    </row>
    <row r="18">
      <c r="A18" s="13" t="n">
        <v>42979</v>
      </c>
      <c r="B18" s="14">
        <f>SUMIFS(Data!$C$2:$C$534,Data!$A$2:$A$534,$A18,Data!$B$2:$B$534,$I$4)</f>
        <v/>
      </c>
      <c r="C18" s="14">
        <f>SUMIFS(Data!$D$2:$D$534,Data!$A$2:$A$534,$A18,Data!$B$2:$B$534,$I$4)</f>
        <v/>
      </c>
      <c r="D18" s="15">
        <f>SUMIFS(Data!$E$2:$E$534,Data!$A$2:$A$534,$A18,Data!$B$2:$B$534,$I$4)</f>
        <v/>
      </c>
      <c r="E18" s="16">
        <f>IFERROR(100*(D18-D17)/D17,0)</f>
        <v/>
      </c>
      <c r="F18" s="17">
        <f>IFERROR(D18/C18,0)</f>
        <v/>
      </c>
      <c r="G18" s="16">
        <f>IFERROR(100*SUMIFS(Data!$F$2:$F$534,Data!$A$2:$A$534,$A18,Data!$B$2:$B$534,$I$4)/SUMIFS(Data!$G$2:$G$534,Data!$A$2:$A$534,$A18,Data!$B$2:$B$534,$I$4),0)</f>
        <v/>
      </c>
      <c r="H18" s="18">
        <f>IFERROR(SUMIFS(Data!$J$2:$J$534,Data!$A$2:$A$534,$A18,Data!$B$2:$B$534,$I$4)/SUMIFS(Data!$I$2:$I$534,Data!$A$2:$A$534,$A18,Data!$B$2:$B$534,$I$4),0)</f>
        <v/>
      </c>
      <c r="I18" s="15">
        <f>SUM($D$10:D18)</f>
        <v/>
      </c>
    </row>
    <row r="19">
      <c r="A19" s="13" t="n">
        <v>43009</v>
      </c>
      <c r="B19" s="14">
        <f>SUMIFS(Data!$C$2:$C$534,Data!$A$2:$A$534,$A19,Data!$B$2:$B$534,$I$4)</f>
        <v/>
      </c>
      <c r="C19" s="14">
        <f>SUMIFS(Data!$D$2:$D$534,Data!$A$2:$A$534,$A19,Data!$B$2:$B$534,$I$4)</f>
        <v/>
      </c>
      <c r="D19" s="15">
        <f>SUMIFS(Data!$E$2:$E$534,Data!$A$2:$A$534,$A19,Data!$B$2:$B$534,$I$4)</f>
        <v/>
      </c>
      <c r="E19" s="16">
        <f>IFERROR(100*(D19-D18)/D18,0)</f>
        <v/>
      </c>
      <c r="F19" s="17">
        <f>IFERROR(D19/C19,0)</f>
        <v/>
      </c>
      <c r="G19" s="16">
        <f>IFERROR(100*SUMIFS(Data!$F$2:$F$534,Data!$A$2:$A$534,$A19,Data!$B$2:$B$534,$I$4)/SUMIFS(Data!$G$2:$G$534,Data!$A$2:$A$534,$A19,Data!$B$2:$B$534,$I$4),0)</f>
        <v/>
      </c>
      <c r="H19" s="18">
        <f>IFERROR(SUMIFS(Data!$J$2:$J$534,Data!$A$2:$A$534,$A19,Data!$B$2:$B$534,$I$4)/SUMIFS(Data!$I$2:$I$534,Data!$A$2:$A$534,$A19,Data!$B$2:$B$534,$I$4),0)</f>
        <v/>
      </c>
      <c r="I19" s="15">
        <f>SUM($D$10:D19)</f>
        <v/>
      </c>
    </row>
    <row r="20">
      <c r="A20" s="13" t="n">
        <v>43040</v>
      </c>
      <c r="B20" s="14">
        <f>SUMIFS(Data!$C$2:$C$534,Data!$A$2:$A$534,$A20,Data!$B$2:$B$534,$I$4)</f>
        <v/>
      </c>
      <c r="C20" s="14">
        <f>SUMIFS(Data!$D$2:$D$534,Data!$A$2:$A$534,$A20,Data!$B$2:$B$534,$I$4)</f>
        <v/>
      </c>
      <c r="D20" s="15">
        <f>SUMIFS(Data!$E$2:$E$534,Data!$A$2:$A$534,$A20,Data!$B$2:$B$534,$I$4)</f>
        <v/>
      </c>
      <c r="E20" s="16">
        <f>IFERROR(100*(D20-D19)/D19,0)</f>
        <v/>
      </c>
      <c r="F20" s="17">
        <f>IFERROR(D20/C20,0)</f>
        <v/>
      </c>
      <c r="G20" s="16">
        <f>IFERROR(100*SUMIFS(Data!$F$2:$F$534,Data!$A$2:$A$534,$A20,Data!$B$2:$B$534,$I$4)/SUMIFS(Data!$G$2:$G$534,Data!$A$2:$A$534,$A20,Data!$B$2:$B$534,$I$4),0)</f>
        <v/>
      </c>
      <c r="H20" s="18">
        <f>IFERROR(SUMIFS(Data!$J$2:$J$534,Data!$A$2:$A$534,$A20,Data!$B$2:$B$534,$I$4)/SUMIFS(Data!$I$2:$I$534,Data!$A$2:$A$534,$A20,Data!$B$2:$B$534,$I$4),0)</f>
        <v/>
      </c>
      <c r="I20" s="15">
        <f>SUM($D$10:D20)</f>
        <v/>
      </c>
    </row>
    <row r="21">
      <c r="A21" s="13" t="n">
        <v>43070</v>
      </c>
      <c r="B21" s="14">
        <f>SUMIFS(Data!$C$2:$C$534,Data!$A$2:$A$534,$A21,Data!$B$2:$B$534,$I$4)</f>
        <v/>
      </c>
      <c r="C21" s="14">
        <f>SUMIFS(Data!$D$2:$D$534,Data!$A$2:$A$534,$A21,Data!$B$2:$B$534,$I$4)</f>
        <v/>
      </c>
      <c r="D21" s="15">
        <f>SUMIFS(Data!$E$2:$E$534,Data!$A$2:$A$534,$A21,Data!$B$2:$B$534,$I$4)</f>
        <v/>
      </c>
      <c r="E21" s="16">
        <f>IFERROR(100*(D21-D20)/D20,0)</f>
        <v/>
      </c>
      <c r="F21" s="17">
        <f>IFERROR(D21/C21,0)</f>
        <v/>
      </c>
      <c r="G21" s="16">
        <f>IFERROR(100*SUMIFS(Data!$F$2:$F$534,Data!$A$2:$A$534,$A21,Data!$B$2:$B$534,$I$4)/SUMIFS(Data!$G$2:$G$534,Data!$A$2:$A$534,$A21,Data!$B$2:$B$534,$I$4),0)</f>
        <v/>
      </c>
      <c r="H21" s="18">
        <f>IFERROR(SUMIFS(Data!$J$2:$J$534,Data!$A$2:$A$534,$A21,Data!$B$2:$B$534,$I$4)/SUMIFS(Data!$I$2:$I$534,Data!$A$2:$A$534,$A21,Data!$B$2:$B$534,$I$4),0)</f>
        <v/>
      </c>
      <c r="I21" s="15">
        <f>SUM($D$10:D21)</f>
        <v/>
      </c>
    </row>
    <row r="22">
      <c r="A22" s="13" t="n">
        <v>43101</v>
      </c>
      <c r="B22" s="14">
        <f>SUMIFS(Data!$C$2:$C$534,Data!$A$2:$A$534,$A22,Data!$B$2:$B$534,$I$4)</f>
        <v/>
      </c>
      <c r="C22" s="14">
        <f>SUMIFS(Data!$D$2:$D$534,Data!$A$2:$A$534,$A22,Data!$B$2:$B$534,$I$4)</f>
        <v/>
      </c>
      <c r="D22" s="15">
        <f>SUMIFS(Data!$E$2:$E$534,Data!$A$2:$A$534,$A22,Data!$B$2:$B$534,$I$4)</f>
        <v/>
      </c>
      <c r="E22" s="16">
        <f>IFERROR(100*(D22-D21)/D21,0)</f>
        <v/>
      </c>
      <c r="F22" s="17">
        <f>IFERROR(D22/C22,0)</f>
        <v/>
      </c>
      <c r="G22" s="16">
        <f>IFERROR(100*SUMIFS(Data!$F$2:$F$534,Data!$A$2:$A$534,$A22,Data!$B$2:$B$534,$I$4)/SUMIFS(Data!$G$2:$G$534,Data!$A$2:$A$534,$A22,Data!$B$2:$B$534,$I$4),0)</f>
        <v/>
      </c>
      <c r="H22" s="18">
        <f>IFERROR(SUMIFS(Data!$J$2:$J$534,Data!$A$2:$A$534,$A22,Data!$B$2:$B$534,$I$4)/SUMIFS(Data!$I$2:$I$534,Data!$A$2:$A$534,$A22,Data!$B$2:$B$534,$I$4),0)</f>
        <v/>
      </c>
      <c r="I22" s="15">
        <f>SUM($D$10:D22)</f>
        <v/>
      </c>
    </row>
    <row r="23">
      <c r="A23" s="13" t="n">
        <v>43132</v>
      </c>
      <c r="B23" s="14">
        <f>SUMIFS(Data!$C$2:$C$534,Data!$A$2:$A$534,$A23,Data!$B$2:$B$534,$I$4)</f>
        <v/>
      </c>
      <c r="C23" s="14">
        <f>SUMIFS(Data!$D$2:$D$534,Data!$A$2:$A$534,$A23,Data!$B$2:$B$534,$I$4)</f>
        <v/>
      </c>
      <c r="D23" s="15">
        <f>SUMIFS(Data!$E$2:$E$534,Data!$A$2:$A$534,$A23,Data!$B$2:$B$534,$I$4)</f>
        <v/>
      </c>
      <c r="E23" s="16">
        <f>IFERROR(100*(D23-D22)/D22,0)</f>
        <v/>
      </c>
      <c r="F23" s="17">
        <f>IFERROR(D23/C23,0)</f>
        <v/>
      </c>
      <c r="G23" s="16">
        <f>IFERROR(100*SUMIFS(Data!$F$2:$F$534,Data!$A$2:$A$534,$A23,Data!$B$2:$B$534,$I$4)/SUMIFS(Data!$G$2:$G$534,Data!$A$2:$A$534,$A23,Data!$B$2:$B$534,$I$4),0)</f>
        <v/>
      </c>
      <c r="H23" s="18">
        <f>IFERROR(SUMIFS(Data!$J$2:$J$534,Data!$A$2:$A$534,$A23,Data!$B$2:$B$534,$I$4)/SUMIFS(Data!$I$2:$I$534,Data!$A$2:$A$534,$A23,Data!$B$2:$B$534,$I$4),0)</f>
        <v/>
      </c>
      <c r="I23" s="15">
        <f>SUM($D$10:D23)</f>
        <v/>
      </c>
    </row>
    <row r="24">
      <c r="A24" s="13" t="n">
        <v>43160</v>
      </c>
      <c r="B24" s="14">
        <f>SUMIFS(Data!$C$2:$C$534,Data!$A$2:$A$534,$A24,Data!$B$2:$B$534,$I$4)</f>
        <v/>
      </c>
      <c r="C24" s="14">
        <f>SUMIFS(Data!$D$2:$D$534,Data!$A$2:$A$534,$A24,Data!$B$2:$B$534,$I$4)</f>
        <v/>
      </c>
      <c r="D24" s="15">
        <f>SUMIFS(Data!$E$2:$E$534,Data!$A$2:$A$534,$A24,Data!$B$2:$B$534,$I$4)</f>
        <v/>
      </c>
      <c r="E24" s="16">
        <f>IFERROR(100*(D24-D23)/D23,0)</f>
        <v/>
      </c>
      <c r="F24" s="17">
        <f>IFERROR(D24/C24,0)</f>
        <v/>
      </c>
      <c r="G24" s="16">
        <f>IFERROR(100*SUMIFS(Data!$F$2:$F$534,Data!$A$2:$A$534,$A24,Data!$B$2:$B$534,$I$4)/SUMIFS(Data!$G$2:$G$534,Data!$A$2:$A$534,$A24,Data!$B$2:$B$534,$I$4),0)</f>
        <v/>
      </c>
      <c r="H24" s="18">
        <f>IFERROR(SUMIFS(Data!$J$2:$J$534,Data!$A$2:$A$534,$A24,Data!$B$2:$B$534,$I$4)/SUMIFS(Data!$I$2:$I$534,Data!$A$2:$A$534,$A24,Data!$B$2:$B$534,$I$4),0)</f>
        <v/>
      </c>
      <c r="I24" s="15">
        <f>SUM($D$10:D24)</f>
        <v/>
      </c>
    </row>
    <row r="25">
      <c r="A25" s="13" t="n">
        <v>43191</v>
      </c>
      <c r="B25" s="14">
        <f>SUMIFS(Data!$C$2:$C$534,Data!$A$2:$A$534,$A25,Data!$B$2:$B$534,$I$4)</f>
        <v/>
      </c>
      <c r="C25" s="14">
        <f>SUMIFS(Data!$D$2:$D$534,Data!$A$2:$A$534,$A25,Data!$B$2:$B$534,$I$4)</f>
        <v/>
      </c>
      <c r="D25" s="15">
        <f>SUMIFS(Data!$E$2:$E$534,Data!$A$2:$A$534,$A25,Data!$B$2:$B$534,$I$4)</f>
        <v/>
      </c>
      <c r="E25" s="16">
        <f>IFERROR(100*(D25-D24)/D24,0)</f>
        <v/>
      </c>
      <c r="F25" s="17">
        <f>IFERROR(D25/C25,0)</f>
        <v/>
      </c>
      <c r="G25" s="16">
        <f>IFERROR(100*SUMIFS(Data!$F$2:$F$534,Data!$A$2:$A$534,$A25,Data!$B$2:$B$534,$I$4)/SUMIFS(Data!$G$2:$G$534,Data!$A$2:$A$534,$A25,Data!$B$2:$B$534,$I$4),0)</f>
        <v/>
      </c>
      <c r="H25" s="18">
        <f>IFERROR(SUMIFS(Data!$J$2:$J$534,Data!$A$2:$A$534,$A25,Data!$B$2:$B$534,$I$4)/SUMIFS(Data!$I$2:$I$534,Data!$A$2:$A$534,$A25,Data!$B$2:$B$534,$I$4),0)</f>
        <v/>
      </c>
      <c r="I25" s="15">
        <f>SUM($D$10:D25)</f>
        <v/>
      </c>
    </row>
    <row r="26">
      <c r="A26" s="13" t="n">
        <v>43221</v>
      </c>
      <c r="B26" s="14">
        <f>SUMIFS(Data!$C$2:$C$534,Data!$A$2:$A$534,$A26,Data!$B$2:$B$534,$I$4)</f>
        <v/>
      </c>
      <c r="C26" s="14">
        <f>SUMIFS(Data!$D$2:$D$534,Data!$A$2:$A$534,$A26,Data!$B$2:$B$534,$I$4)</f>
        <v/>
      </c>
      <c r="D26" s="15">
        <f>SUMIFS(Data!$E$2:$E$534,Data!$A$2:$A$534,$A26,Data!$B$2:$B$534,$I$4)</f>
        <v/>
      </c>
      <c r="E26" s="16">
        <f>IFERROR(100*(D26-D25)/D25,0)</f>
        <v/>
      </c>
      <c r="F26" s="17">
        <f>IFERROR(D26/C26,0)</f>
        <v/>
      </c>
      <c r="G26" s="16">
        <f>IFERROR(100*SUMIFS(Data!$F$2:$F$534,Data!$A$2:$A$534,$A26,Data!$B$2:$B$534,$I$4)/SUMIFS(Data!$G$2:$G$534,Data!$A$2:$A$534,$A26,Data!$B$2:$B$534,$I$4),0)</f>
        <v/>
      </c>
      <c r="H26" s="18">
        <f>IFERROR(SUMIFS(Data!$J$2:$J$534,Data!$A$2:$A$534,$A26,Data!$B$2:$B$534,$I$4)/SUMIFS(Data!$I$2:$I$534,Data!$A$2:$A$534,$A26,Data!$B$2:$B$534,$I$4),0)</f>
        <v/>
      </c>
      <c r="I26" s="15">
        <f>SUM($D$10:D26)</f>
        <v/>
      </c>
    </row>
    <row r="27">
      <c r="A27" s="13" t="n">
        <v>43252</v>
      </c>
      <c r="B27" s="14">
        <f>SUMIFS(Data!$C$2:$C$534,Data!$A$2:$A$534,$A27,Data!$B$2:$B$534,$I$4)</f>
        <v/>
      </c>
      <c r="C27" s="14">
        <f>SUMIFS(Data!$D$2:$D$534,Data!$A$2:$A$534,$A27,Data!$B$2:$B$534,$I$4)</f>
        <v/>
      </c>
      <c r="D27" s="15">
        <f>SUMIFS(Data!$E$2:$E$534,Data!$A$2:$A$534,$A27,Data!$B$2:$B$534,$I$4)</f>
        <v/>
      </c>
      <c r="E27" s="16">
        <f>IFERROR(100*(D27-D26)/D26,0)</f>
        <v/>
      </c>
      <c r="F27" s="17">
        <f>IFERROR(D27/C27,0)</f>
        <v/>
      </c>
      <c r="G27" s="16">
        <f>IFERROR(100*SUMIFS(Data!$F$2:$F$534,Data!$A$2:$A$534,$A27,Data!$B$2:$B$534,$I$4)/SUMIFS(Data!$G$2:$G$534,Data!$A$2:$A$534,$A27,Data!$B$2:$B$534,$I$4),0)</f>
        <v/>
      </c>
      <c r="H27" s="18">
        <f>IFERROR(SUMIFS(Data!$J$2:$J$534,Data!$A$2:$A$534,$A27,Data!$B$2:$B$534,$I$4)/SUMIFS(Data!$I$2:$I$534,Data!$A$2:$A$534,$A27,Data!$B$2:$B$534,$I$4),0)</f>
        <v/>
      </c>
      <c r="I27" s="15">
        <f>SUM($D$10:D27)</f>
        <v/>
      </c>
    </row>
    <row r="28">
      <c r="A28" s="13" t="n">
        <v>43282</v>
      </c>
      <c r="B28" s="14">
        <f>SUMIFS(Data!$C$2:$C$534,Data!$A$2:$A$534,$A28,Data!$B$2:$B$534,$I$4)</f>
        <v/>
      </c>
      <c r="C28" s="14">
        <f>SUMIFS(Data!$D$2:$D$534,Data!$A$2:$A$534,$A28,Data!$B$2:$B$534,$I$4)</f>
        <v/>
      </c>
      <c r="D28" s="15">
        <f>SUMIFS(Data!$E$2:$E$534,Data!$A$2:$A$534,$A28,Data!$B$2:$B$534,$I$4)</f>
        <v/>
      </c>
      <c r="E28" s="16">
        <f>IFERROR(100*(D28-D27)/D27,0)</f>
        <v/>
      </c>
      <c r="F28" s="17">
        <f>IFERROR(D28/C28,0)</f>
        <v/>
      </c>
      <c r="G28" s="16">
        <f>IFERROR(100*SUMIFS(Data!$F$2:$F$534,Data!$A$2:$A$534,$A28,Data!$B$2:$B$534,$I$4)/SUMIFS(Data!$G$2:$G$534,Data!$A$2:$A$534,$A28,Data!$B$2:$B$534,$I$4),0)</f>
        <v/>
      </c>
      <c r="H28" s="18">
        <f>IFERROR(SUMIFS(Data!$J$2:$J$534,Data!$A$2:$A$534,$A28,Data!$B$2:$B$534,$I$4)/SUMIFS(Data!$I$2:$I$534,Data!$A$2:$A$534,$A28,Data!$B$2:$B$534,$I$4),0)</f>
        <v/>
      </c>
      <c r="I28" s="15">
        <f>SUM($D$10:D28)</f>
        <v/>
      </c>
    </row>
    <row r="29">
      <c r="A29" s="13" t="n">
        <v>43313</v>
      </c>
      <c r="B29" s="14">
        <f>SUMIFS(Data!$C$2:$C$534,Data!$A$2:$A$534,$A29,Data!$B$2:$B$534,$I$4)</f>
        <v/>
      </c>
      <c r="C29" s="14">
        <f>SUMIFS(Data!$D$2:$D$534,Data!$A$2:$A$534,$A29,Data!$B$2:$B$534,$I$4)</f>
        <v/>
      </c>
      <c r="D29" s="15">
        <f>SUMIFS(Data!$E$2:$E$534,Data!$A$2:$A$534,$A29,Data!$B$2:$B$534,$I$4)</f>
        <v/>
      </c>
      <c r="E29" s="16">
        <f>IFERROR(100*(D29-D28)/D28,0)</f>
        <v/>
      </c>
      <c r="F29" s="17">
        <f>IFERROR(D29/C29,0)</f>
        <v/>
      </c>
      <c r="G29" s="16">
        <f>IFERROR(100*SUMIFS(Data!$F$2:$F$534,Data!$A$2:$A$534,$A29,Data!$B$2:$B$534,$I$4)/SUMIFS(Data!$G$2:$G$534,Data!$A$2:$A$534,$A29,Data!$B$2:$B$534,$I$4),0)</f>
        <v/>
      </c>
      <c r="H29" s="18">
        <f>IFERROR(SUMIFS(Data!$J$2:$J$534,Data!$A$2:$A$534,$A29,Data!$B$2:$B$534,$I$4)/SUMIFS(Data!$I$2:$I$534,Data!$A$2:$A$534,$A29,Data!$B$2:$B$534,$I$4),0)</f>
        <v/>
      </c>
      <c r="I29" s="15">
        <f>SUM($D$10:D29)</f>
        <v/>
      </c>
    </row>
  </sheetData>
  <mergeCells count="1">
    <mergeCell ref="A1:I1"/>
  </mergeCells>
  <dataValidations count="1">
    <dataValidation sqref="C4" showDropDown="0" showInputMessage="0" showErrorMessage="0" allowBlank="0" type="list">
      <formula1>=Lists!$A$1:$A$28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" t="inlineStr">
        <is>
          <t>State Ranking</t>
        </is>
      </c>
    </row>
    <row r="2">
      <c r="A2" s="2" t="inlineStr">
        <is>
          <t>Totals for the whole period, ranked by revenue.</t>
        </is>
      </c>
    </row>
    <row r="4">
      <c r="A4" s="12" t="inlineStr">
        <is>
          <t>State</t>
        </is>
      </c>
      <c r="B4" s="12" t="inlineStr">
        <is>
          <t>Orders</t>
        </is>
      </c>
      <c r="C4" s="12" t="inlineStr">
        <is>
          <t>Revenue</t>
        </is>
      </c>
      <c r="D4" s="12" t="inlineStr">
        <is>
          <t>Share of revenue</t>
        </is>
      </c>
      <c r="E4" s="12" t="inlineStr">
        <is>
          <t>Rank by revenue</t>
        </is>
      </c>
      <c r="F4" s="12" t="inlineStr">
        <is>
          <t>Late delivery rate</t>
        </is>
      </c>
      <c r="G4" s="12" t="inlineStr">
        <is>
          <t>Average review score</t>
        </is>
      </c>
    </row>
    <row r="5">
      <c r="A5" t="inlineStr">
        <is>
          <t>SP</t>
        </is>
      </c>
      <c r="B5" s="14">
        <f>SUMIFS(Data!$C$2:$C$534,Data!$B$2:$B$534,$A5)</f>
        <v/>
      </c>
      <c r="C5" s="15">
        <f>SUMIFS(Data!$E$2:$E$534,Data!$B$2:$B$534,$A5)</f>
        <v/>
      </c>
      <c r="D5" s="16">
        <f>100*C5/SUM($C$5:$C$31)</f>
        <v/>
      </c>
      <c r="E5">
        <f>RANK(C5,$C$5:$C$31)</f>
        <v/>
      </c>
      <c r="F5" s="16">
        <f>IFERROR(100*SUMIFS(Data!$F$2:$F$534,Data!$B$2:$B$534,$A5)/SUMIFS(Data!$G$2:$G$534,Data!$B$2:$B$534,$A5),0)</f>
        <v/>
      </c>
      <c r="G5" s="18">
        <f>IFERROR(SUMIFS(Data!$J$2:$J$534,Data!$B$2:$B$534,$A5)/SUMIFS(Data!$I$2:$I$534,Data!$B$2:$B$534,$A5),0)</f>
        <v/>
      </c>
    </row>
    <row r="6">
      <c r="A6" t="inlineStr">
        <is>
          <t>RJ</t>
        </is>
      </c>
      <c r="B6" s="14">
        <f>SUMIFS(Data!$C$2:$C$534,Data!$B$2:$B$534,$A6)</f>
        <v/>
      </c>
      <c r="C6" s="15">
        <f>SUMIFS(Data!$E$2:$E$534,Data!$B$2:$B$534,$A6)</f>
        <v/>
      </c>
      <c r="D6" s="16">
        <f>100*C6/SUM($C$5:$C$31)</f>
        <v/>
      </c>
      <c r="E6">
        <f>RANK(C6,$C$5:$C$31)</f>
        <v/>
      </c>
      <c r="F6" s="16">
        <f>IFERROR(100*SUMIFS(Data!$F$2:$F$534,Data!$B$2:$B$534,$A6)/SUMIFS(Data!$G$2:$G$534,Data!$B$2:$B$534,$A6),0)</f>
        <v/>
      </c>
      <c r="G6" s="18">
        <f>IFERROR(SUMIFS(Data!$J$2:$J$534,Data!$B$2:$B$534,$A6)/SUMIFS(Data!$I$2:$I$534,Data!$B$2:$B$534,$A6),0)</f>
        <v/>
      </c>
    </row>
    <row r="7">
      <c r="A7" t="inlineStr">
        <is>
          <t>MG</t>
        </is>
      </c>
      <c r="B7" s="14">
        <f>SUMIFS(Data!$C$2:$C$534,Data!$B$2:$B$534,$A7)</f>
        <v/>
      </c>
      <c r="C7" s="15">
        <f>SUMIFS(Data!$E$2:$E$534,Data!$B$2:$B$534,$A7)</f>
        <v/>
      </c>
      <c r="D7" s="16">
        <f>100*C7/SUM($C$5:$C$31)</f>
        <v/>
      </c>
      <c r="E7">
        <f>RANK(C7,$C$5:$C$31)</f>
        <v/>
      </c>
      <c r="F7" s="16">
        <f>IFERROR(100*SUMIFS(Data!$F$2:$F$534,Data!$B$2:$B$534,$A7)/SUMIFS(Data!$G$2:$G$534,Data!$B$2:$B$534,$A7),0)</f>
        <v/>
      </c>
      <c r="G7" s="18">
        <f>IFERROR(SUMIFS(Data!$J$2:$J$534,Data!$B$2:$B$534,$A7)/SUMIFS(Data!$I$2:$I$534,Data!$B$2:$B$534,$A7),0)</f>
        <v/>
      </c>
    </row>
    <row r="8">
      <c r="A8" t="inlineStr">
        <is>
          <t>RS</t>
        </is>
      </c>
      <c r="B8" s="14">
        <f>SUMIFS(Data!$C$2:$C$534,Data!$B$2:$B$534,$A8)</f>
        <v/>
      </c>
      <c r="C8" s="15">
        <f>SUMIFS(Data!$E$2:$E$534,Data!$B$2:$B$534,$A8)</f>
        <v/>
      </c>
      <c r="D8" s="16">
        <f>100*C8/SUM($C$5:$C$31)</f>
        <v/>
      </c>
      <c r="E8">
        <f>RANK(C8,$C$5:$C$31)</f>
        <v/>
      </c>
      <c r="F8" s="16">
        <f>IFERROR(100*SUMIFS(Data!$F$2:$F$534,Data!$B$2:$B$534,$A8)/SUMIFS(Data!$G$2:$G$534,Data!$B$2:$B$534,$A8),0)</f>
        <v/>
      </c>
      <c r="G8" s="18">
        <f>IFERROR(SUMIFS(Data!$J$2:$J$534,Data!$B$2:$B$534,$A8)/SUMIFS(Data!$I$2:$I$534,Data!$B$2:$B$534,$A8),0)</f>
        <v/>
      </c>
    </row>
    <row r="9">
      <c r="A9" t="inlineStr">
        <is>
          <t>PR</t>
        </is>
      </c>
      <c r="B9" s="14">
        <f>SUMIFS(Data!$C$2:$C$534,Data!$B$2:$B$534,$A9)</f>
        <v/>
      </c>
      <c r="C9" s="15">
        <f>SUMIFS(Data!$E$2:$E$534,Data!$B$2:$B$534,$A9)</f>
        <v/>
      </c>
      <c r="D9" s="16">
        <f>100*C9/SUM($C$5:$C$31)</f>
        <v/>
      </c>
      <c r="E9">
        <f>RANK(C9,$C$5:$C$31)</f>
        <v/>
      </c>
      <c r="F9" s="16">
        <f>IFERROR(100*SUMIFS(Data!$F$2:$F$534,Data!$B$2:$B$534,$A9)/SUMIFS(Data!$G$2:$G$534,Data!$B$2:$B$534,$A9),0)</f>
        <v/>
      </c>
      <c r="G9" s="18">
        <f>IFERROR(SUMIFS(Data!$J$2:$J$534,Data!$B$2:$B$534,$A9)/SUMIFS(Data!$I$2:$I$534,Data!$B$2:$B$534,$A9),0)</f>
        <v/>
      </c>
    </row>
    <row r="10">
      <c r="A10" t="inlineStr">
        <is>
          <t>SC</t>
        </is>
      </c>
      <c r="B10" s="14">
        <f>SUMIFS(Data!$C$2:$C$534,Data!$B$2:$B$534,$A10)</f>
        <v/>
      </c>
      <c r="C10" s="15">
        <f>SUMIFS(Data!$E$2:$E$534,Data!$B$2:$B$534,$A10)</f>
        <v/>
      </c>
      <c r="D10" s="16">
        <f>100*C10/SUM($C$5:$C$31)</f>
        <v/>
      </c>
      <c r="E10">
        <f>RANK(C10,$C$5:$C$31)</f>
        <v/>
      </c>
      <c r="F10" s="16">
        <f>IFERROR(100*SUMIFS(Data!$F$2:$F$534,Data!$B$2:$B$534,$A10)/SUMIFS(Data!$G$2:$G$534,Data!$B$2:$B$534,$A10),0)</f>
        <v/>
      </c>
      <c r="G10" s="18">
        <f>IFERROR(SUMIFS(Data!$J$2:$J$534,Data!$B$2:$B$534,$A10)/SUMIFS(Data!$I$2:$I$534,Data!$B$2:$B$534,$A10),0)</f>
        <v/>
      </c>
    </row>
    <row r="11">
      <c r="A11" t="inlineStr">
        <is>
          <t>BA</t>
        </is>
      </c>
      <c r="B11" s="14">
        <f>SUMIFS(Data!$C$2:$C$534,Data!$B$2:$B$534,$A11)</f>
        <v/>
      </c>
      <c r="C11" s="15">
        <f>SUMIFS(Data!$E$2:$E$534,Data!$B$2:$B$534,$A11)</f>
        <v/>
      </c>
      <c r="D11" s="16">
        <f>100*C11/SUM($C$5:$C$31)</f>
        <v/>
      </c>
      <c r="E11">
        <f>RANK(C11,$C$5:$C$31)</f>
        <v/>
      </c>
      <c r="F11" s="16">
        <f>IFERROR(100*SUMIFS(Data!$F$2:$F$534,Data!$B$2:$B$534,$A11)/SUMIFS(Data!$G$2:$G$534,Data!$B$2:$B$534,$A11),0)</f>
        <v/>
      </c>
      <c r="G11" s="18">
        <f>IFERROR(SUMIFS(Data!$J$2:$J$534,Data!$B$2:$B$534,$A11)/SUMIFS(Data!$I$2:$I$534,Data!$B$2:$B$534,$A11),0)</f>
        <v/>
      </c>
    </row>
    <row r="12">
      <c r="A12" t="inlineStr">
        <is>
          <t>DF</t>
        </is>
      </c>
      <c r="B12" s="14">
        <f>SUMIFS(Data!$C$2:$C$534,Data!$B$2:$B$534,$A12)</f>
        <v/>
      </c>
      <c r="C12" s="15">
        <f>SUMIFS(Data!$E$2:$E$534,Data!$B$2:$B$534,$A12)</f>
        <v/>
      </c>
      <c r="D12" s="16">
        <f>100*C12/SUM($C$5:$C$31)</f>
        <v/>
      </c>
      <c r="E12">
        <f>RANK(C12,$C$5:$C$31)</f>
        <v/>
      </c>
      <c r="F12" s="16">
        <f>IFERROR(100*SUMIFS(Data!$F$2:$F$534,Data!$B$2:$B$534,$A12)/SUMIFS(Data!$G$2:$G$534,Data!$B$2:$B$534,$A12),0)</f>
        <v/>
      </c>
      <c r="G12" s="18">
        <f>IFERROR(SUMIFS(Data!$J$2:$J$534,Data!$B$2:$B$534,$A12)/SUMIFS(Data!$I$2:$I$534,Data!$B$2:$B$534,$A12),0)</f>
        <v/>
      </c>
    </row>
    <row r="13">
      <c r="A13" t="inlineStr">
        <is>
          <t>GO</t>
        </is>
      </c>
      <c r="B13" s="14">
        <f>SUMIFS(Data!$C$2:$C$534,Data!$B$2:$B$534,$A13)</f>
        <v/>
      </c>
      <c r="C13" s="15">
        <f>SUMIFS(Data!$E$2:$E$534,Data!$B$2:$B$534,$A13)</f>
        <v/>
      </c>
      <c r="D13" s="16">
        <f>100*C13/SUM($C$5:$C$31)</f>
        <v/>
      </c>
      <c r="E13">
        <f>RANK(C13,$C$5:$C$31)</f>
        <v/>
      </c>
      <c r="F13" s="16">
        <f>IFERROR(100*SUMIFS(Data!$F$2:$F$534,Data!$B$2:$B$534,$A13)/SUMIFS(Data!$G$2:$G$534,Data!$B$2:$B$534,$A13),0)</f>
        <v/>
      </c>
      <c r="G13" s="18">
        <f>IFERROR(SUMIFS(Data!$J$2:$J$534,Data!$B$2:$B$534,$A13)/SUMIFS(Data!$I$2:$I$534,Data!$B$2:$B$534,$A13),0)</f>
        <v/>
      </c>
    </row>
    <row r="14">
      <c r="A14" t="inlineStr">
        <is>
          <t>ES</t>
        </is>
      </c>
      <c r="B14" s="14">
        <f>SUMIFS(Data!$C$2:$C$534,Data!$B$2:$B$534,$A14)</f>
        <v/>
      </c>
      <c r="C14" s="15">
        <f>SUMIFS(Data!$E$2:$E$534,Data!$B$2:$B$534,$A14)</f>
        <v/>
      </c>
      <c r="D14" s="16">
        <f>100*C14/SUM($C$5:$C$31)</f>
        <v/>
      </c>
      <c r="E14">
        <f>RANK(C14,$C$5:$C$31)</f>
        <v/>
      </c>
      <c r="F14" s="16">
        <f>IFERROR(100*SUMIFS(Data!$F$2:$F$534,Data!$B$2:$B$534,$A14)/SUMIFS(Data!$G$2:$G$534,Data!$B$2:$B$534,$A14),0)</f>
        <v/>
      </c>
      <c r="G14" s="18">
        <f>IFERROR(SUMIFS(Data!$J$2:$J$534,Data!$B$2:$B$534,$A14)/SUMIFS(Data!$I$2:$I$534,Data!$B$2:$B$534,$A14),0)</f>
        <v/>
      </c>
    </row>
    <row r="15">
      <c r="A15" t="inlineStr">
        <is>
          <t>PE</t>
        </is>
      </c>
      <c r="B15" s="14">
        <f>SUMIFS(Data!$C$2:$C$534,Data!$B$2:$B$534,$A15)</f>
        <v/>
      </c>
      <c r="C15" s="15">
        <f>SUMIFS(Data!$E$2:$E$534,Data!$B$2:$B$534,$A15)</f>
        <v/>
      </c>
      <c r="D15" s="16">
        <f>100*C15/SUM($C$5:$C$31)</f>
        <v/>
      </c>
      <c r="E15">
        <f>RANK(C15,$C$5:$C$31)</f>
        <v/>
      </c>
      <c r="F15" s="16">
        <f>IFERROR(100*SUMIFS(Data!$F$2:$F$534,Data!$B$2:$B$534,$A15)/SUMIFS(Data!$G$2:$G$534,Data!$B$2:$B$534,$A15),0)</f>
        <v/>
      </c>
      <c r="G15" s="18">
        <f>IFERROR(SUMIFS(Data!$J$2:$J$534,Data!$B$2:$B$534,$A15)/SUMIFS(Data!$I$2:$I$534,Data!$B$2:$B$534,$A15),0)</f>
        <v/>
      </c>
    </row>
    <row r="16">
      <c r="A16" t="inlineStr">
        <is>
          <t>CE</t>
        </is>
      </c>
      <c r="B16" s="14">
        <f>SUMIFS(Data!$C$2:$C$534,Data!$B$2:$B$534,$A16)</f>
        <v/>
      </c>
      <c r="C16" s="15">
        <f>SUMIFS(Data!$E$2:$E$534,Data!$B$2:$B$534,$A16)</f>
        <v/>
      </c>
      <c r="D16" s="16">
        <f>100*C16/SUM($C$5:$C$31)</f>
        <v/>
      </c>
      <c r="E16">
        <f>RANK(C16,$C$5:$C$31)</f>
        <v/>
      </c>
      <c r="F16" s="16">
        <f>IFERROR(100*SUMIFS(Data!$F$2:$F$534,Data!$B$2:$B$534,$A16)/SUMIFS(Data!$G$2:$G$534,Data!$B$2:$B$534,$A16),0)</f>
        <v/>
      </c>
      <c r="G16" s="18">
        <f>IFERROR(SUMIFS(Data!$J$2:$J$534,Data!$B$2:$B$534,$A16)/SUMIFS(Data!$I$2:$I$534,Data!$B$2:$B$534,$A16),0)</f>
        <v/>
      </c>
    </row>
    <row r="17">
      <c r="A17" t="inlineStr">
        <is>
          <t>PA</t>
        </is>
      </c>
      <c r="B17" s="14">
        <f>SUMIFS(Data!$C$2:$C$534,Data!$B$2:$B$534,$A17)</f>
        <v/>
      </c>
      <c r="C17" s="15">
        <f>SUMIFS(Data!$E$2:$E$534,Data!$B$2:$B$534,$A17)</f>
        <v/>
      </c>
      <c r="D17" s="16">
        <f>100*C17/SUM($C$5:$C$31)</f>
        <v/>
      </c>
      <c r="E17">
        <f>RANK(C17,$C$5:$C$31)</f>
        <v/>
      </c>
      <c r="F17" s="16">
        <f>IFERROR(100*SUMIFS(Data!$F$2:$F$534,Data!$B$2:$B$534,$A17)/SUMIFS(Data!$G$2:$G$534,Data!$B$2:$B$534,$A17),0)</f>
        <v/>
      </c>
      <c r="G17" s="18">
        <f>IFERROR(SUMIFS(Data!$J$2:$J$534,Data!$B$2:$B$534,$A17)/SUMIFS(Data!$I$2:$I$534,Data!$B$2:$B$534,$A17),0)</f>
        <v/>
      </c>
    </row>
    <row r="18">
      <c r="A18" t="inlineStr">
        <is>
          <t>MT</t>
        </is>
      </c>
      <c r="B18" s="14">
        <f>SUMIFS(Data!$C$2:$C$534,Data!$B$2:$B$534,$A18)</f>
        <v/>
      </c>
      <c r="C18" s="15">
        <f>SUMIFS(Data!$E$2:$E$534,Data!$B$2:$B$534,$A18)</f>
        <v/>
      </c>
      <c r="D18" s="16">
        <f>100*C18/SUM($C$5:$C$31)</f>
        <v/>
      </c>
      <c r="E18">
        <f>RANK(C18,$C$5:$C$31)</f>
        <v/>
      </c>
      <c r="F18" s="16">
        <f>IFERROR(100*SUMIFS(Data!$F$2:$F$534,Data!$B$2:$B$534,$A18)/SUMIFS(Data!$G$2:$G$534,Data!$B$2:$B$534,$A18),0)</f>
        <v/>
      </c>
      <c r="G18" s="18">
        <f>IFERROR(SUMIFS(Data!$J$2:$J$534,Data!$B$2:$B$534,$A18)/SUMIFS(Data!$I$2:$I$534,Data!$B$2:$B$534,$A18),0)</f>
        <v/>
      </c>
    </row>
    <row r="19">
      <c r="A19" t="inlineStr">
        <is>
          <t>MA</t>
        </is>
      </c>
      <c r="B19" s="14">
        <f>SUMIFS(Data!$C$2:$C$534,Data!$B$2:$B$534,$A19)</f>
        <v/>
      </c>
      <c r="C19" s="15">
        <f>SUMIFS(Data!$E$2:$E$534,Data!$B$2:$B$534,$A19)</f>
        <v/>
      </c>
      <c r="D19" s="16">
        <f>100*C19/SUM($C$5:$C$31)</f>
        <v/>
      </c>
      <c r="E19">
        <f>RANK(C19,$C$5:$C$31)</f>
        <v/>
      </c>
      <c r="F19" s="16">
        <f>IFERROR(100*SUMIFS(Data!$F$2:$F$534,Data!$B$2:$B$534,$A19)/SUMIFS(Data!$G$2:$G$534,Data!$B$2:$B$534,$A19),0)</f>
        <v/>
      </c>
      <c r="G19" s="18">
        <f>IFERROR(SUMIFS(Data!$J$2:$J$534,Data!$B$2:$B$534,$A19)/SUMIFS(Data!$I$2:$I$534,Data!$B$2:$B$534,$A19),0)</f>
        <v/>
      </c>
    </row>
    <row r="20">
      <c r="A20" t="inlineStr">
        <is>
          <t>PB</t>
        </is>
      </c>
      <c r="B20" s="14">
        <f>SUMIFS(Data!$C$2:$C$534,Data!$B$2:$B$534,$A20)</f>
        <v/>
      </c>
      <c r="C20" s="15">
        <f>SUMIFS(Data!$E$2:$E$534,Data!$B$2:$B$534,$A20)</f>
        <v/>
      </c>
      <c r="D20" s="16">
        <f>100*C20/SUM($C$5:$C$31)</f>
        <v/>
      </c>
      <c r="E20">
        <f>RANK(C20,$C$5:$C$31)</f>
        <v/>
      </c>
      <c r="F20" s="16">
        <f>IFERROR(100*SUMIFS(Data!$F$2:$F$534,Data!$B$2:$B$534,$A20)/SUMIFS(Data!$G$2:$G$534,Data!$B$2:$B$534,$A20),0)</f>
        <v/>
      </c>
      <c r="G20" s="18">
        <f>IFERROR(SUMIFS(Data!$J$2:$J$534,Data!$B$2:$B$534,$A20)/SUMIFS(Data!$I$2:$I$534,Data!$B$2:$B$534,$A20),0)</f>
        <v/>
      </c>
    </row>
    <row r="21">
      <c r="A21" t="inlineStr">
        <is>
          <t>MS</t>
        </is>
      </c>
      <c r="B21" s="14">
        <f>SUMIFS(Data!$C$2:$C$534,Data!$B$2:$B$534,$A21)</f>
        <v/>
      </c>
      <c r="C21" s="15">
        <f>SUMIFS(Data!$E$2:$E$534,Data!$B$2:$B$534,$A21)</f>
        <v/>
      </c>
      <c r="D21" s="16">
        <f>100*C21/SUM($C$5:$C$31)</f>
        <v/>
      </c>
      <c r="E21">
        <f>RANK(C21,$C$5:$C$31)</f>
        <v/>
      </c>
      <c r="F21" s="16">
        <f>IFERROR(100*SUMIFS(Data!$F$2:$F$534,Data!$B$2:$B$534,$A21)/SUMIFS(Data!$G$2:$G$534,Data!$B$2:$B$534,$A21),0)</f>
        <v/>
      </c>
      <c r="G21" s="18">
        <f>IFERROR(SUMIFS(Data!$J$2:$J$534,Data!$B$2:$B$534,$A21)/SUMIFS(Data!$I$2:$I$534,Data!$B$2:$B$534,$A21),0)</f>
        <v/>
      </c>
    </row>
    <row r="22">
      <c r="A22" t="inlineStr">
        <is>
          <t>PI</t>
        </is>
      </c>
      <c r="B22" s="14">
        <f>SUMIFS(Data!$C$2:$C$534,Data!$B$2:$B$534,$A22)</f>
        <v/>
      </c>
      <c r="C22" s="15">
        <f>SUMIFS(Data!$E$2:$E$534,Data!$B$2:$B$534,$A22)</f>
        <v/>
      </c>
      <c r="D22" s="16">
        <f>100*C22/SUM($C$5:$C$31)</f>
        <v/>
      </c>
      <c r="E22">
        <f>RANK(C22,$C$5:$C$31)</f>
        <v/>
      </c>
      <c r="F22" s="16">
        <f>IFERROR(100*SUMIFS(Data!$F$2:$F$534,Data!$B$2:$B$534,$A22)/SUMIFS(Data!$G$2:$G$534,Data!$B$2:$B$534,$A22),0)</f>
        <v/>
      </c>
      <c r="G22" s="18">
        <f>IFERROR(SUMIFS(Data!$J$2:$J$534,Data!$B$2:$B$534,$A22)/SUMIFS(Data!$I$2:$I$534,Data!$B$2:$B$534,$A22),0)</f>
        <v/>
      </c>
    </row>
    <row r="23">
      <c r="A23" t="inlineStr">
        <is>
          <t>RN</t>
        </is>
      </c>
      <c r="B23" s="14">
        <f>SUMIFS(Data!$C$2:$C$534,Data!$B$2:$B$534,$A23)</f>
        <v/>
      </c>
      <c r="C23" s="15">
        <f>SUMIFS(Data!$E$2:$E$534,Data!$B$2:$B$534,$A23)</f>
        <v/>
      </c>
      <c r="D23" s="16">
        <f>100*C23/SUM($C$5:$C$31)</f>
        <v/>
      </c>
      <c r="E23">
        <f>RANK(C23,$C$5:$C$31)</f>
        <v/>
      </c>
      <c r="F23" s="16">
        <f>IFERROR(100*SUMIFS(Data!$F$2:$F$534,Data!$B$2:$B$534,$A23)/SUMIFS(Data!$G$2:$G$534,Data!$B$2:$B$534,$A23),0)</f>
        <v/>
      </c>
      <c r="G23" s="18">
        <f>IFERROR(SUMIFS(Data!$J$2:$J$534,Data!$B$2:$B$534,$A23)/SUMIFS(Data!$I$2:$I$534,Data!$B$2:$B$534,$A23),0)</f>
        <v/>
      </c>
    </row>
    <row r="24">
      <c r="A24" t="inlineStr">
        <is>
          <t>AL</t>
        </is>
      </c>
      <c r="B24" s="14">
        <f>SUMIFS(Data!$C$2:$C$534,Data!$B$2:$B$534,$A24)</f>
        <v/>
      </c>
      <c r="C24" s="15">
        <f>SUMIFS(Data!$E$2:$E$534,Data!$B$2:$B$534,$A24)</f>
        <v/>
      </c>
      <c r="D24" s="16">
        <f>100*C24/SUM($C$5:$C$31)</f>
        <v/>
      </c>
      <c r="E24">
        <f>RANK(C24,$C$5:$C$31)</f>
        <v/>
      </c>
      <c r="F24" s="16">
        <f>IFERROR(100*SUMIFS(Data!$F$2:$F$534,Data!$B$2:$B$534,$A24)/SUMIFS(Data!$G$2:$G$534,Data!$B$2:$B$534,$A24),0)</f>
        <v/>
      </c>
      <c r="G24" s="18">
        <f>IFERROR(SUMIFS(Data!$J$2:$J$534,Data!$B$2:$B$534,$A24)/SUMIFS(Data!$I$2:$I$534,Data!$B$2:$B$534,$A24),0)</f>
        <v/>
      </c>
    </row>
    <row r="25">
      <c r="A25" t="inlineStr">
        <is>
          <t>SE</t>
        </is>
      </c>
      <c r="B25" s="14">
        <f>SUMIFS(Data!$C$2:$C$534,Data!$B$2:$B$534,$A25)</f>
        <v/>
      </c>
      <c r="C25" s="15">
        <f>SUMIFS(Data!$E$2:$E$534,Data!$B$2:$B$534,$A25)</f>
        <v/>
      </c>
      <c r="D25" s="16">
        <f>100*C25/SUM($C$5:$C$31)</f>
        <v/>
      </c>
      <c r="E25">
        <f>RANK(C25,$C$5:$C$31)</f>
        <v/>
      </c>
      <c r="F25" s="16">
        <f>IFERROR(100*SUMIFS(Data!$F$2:$F$534,Data!$B$2:$B$534,$A25)/SUMIFS(Data!$G$2:$G$534,Data!$B$2:$B$534,$A25),0)</f>
        <v/>
      </c>
      <c r="G25" s="18">
        <f>IFERROR(SUMIFS(Data!$J$2:$J$534,Data!$B$2:$B$534,$A25)/SUMIFS(Data!$I$2:$I$534,Data!$B$2:$B$534,$A25),0)</f>
        <v/>
      </c>
    </row>
    <row r="26">
      <c r="A26" t="inlineStr">
        <is>
          <t>TO</t>
        </is>
      </c>
      <c r="B26" s="14">
        <f>SUMIFS(Data!$C$2:$C$534,Data!$B$2:$B$534,$A26)</f>
        <v/>
      </c>
      <c r="C26" s="15">
        <f>SUMIFS(Data!$E$2:$E$534,Data!$B$2:$B$534,$A26)</f>
        <v/>
      </c>
      <c r="D26" s="16">
        <f>100*C26/SUM($C$5:$C$31)</f>
        <v/>
      </c>
      <c r="E26">
        <f>RANK(C26,$C$5:$C$31)</f>
        <v/>
      </c>
      <c r="F26" s="16">
        <f>IFERROR(100*SUMIFS(Data!$F$2:$F$534,Data!$B$2:$B$534,$A26)/SUMIFS(Data!$G$2:$G$534,Data!$B$2:$B$534,$A26),0)</f>
        <v/>
      </c>
      <c r="G26" s="18">
        <f>IFERROR(SUMIFS(Data!$J$2:$J$534,Data!$B$2:$B$534,$A26)/SUMIFS(Data!$I$2:$I$534,Data!$B$2:$B$534,$A26),0)</f>
        <v/>
      </c>
    </row>
    <row r="27">
      <c r="A27" t="inlineStr">
        <is>
          <t>RO</t>
        </is>
      </c>
      <c r="B27" s="14">
        <f>SUMIFS(Data!$C$2:$C$534,Data!$B$2:$B$534,$A27)</f>
        <v/>
      </c>
      <c r="C27" s="15">
        <f>SUMIFS(Data!$E$2:$E$534,Data!$B$2:$B$534,$A27)</f>
        <v/>
      </c>
      <c r="D27" s="16">
        <f>100*C27/SUM($C$5:$C$31)</f>
        <v/>
      </c>
      <c r="E27">
        <f>RANK(C27,$C$5:$C$31)</f>
        <v/>
      </c>
      <c r="F27" s="16">
        <f>IFERROR(100*SUMIFS(Data!$F$2:$F$534,Data!$B$2:$B$534,$A27)/SUMIFS(Data!$G$2:$G$534,Data!$B$2:$B$534,$A27),0)</f>
        <v/>
      </c>
      <c r="G27" s="18">
        <f>IFERROR(SUMIFS(Data!$J$2:$J$534,Data!$B$2:$B$534,$A27)/SUMIFS(Data!$I$2:$I$534,Data!$B$2:$B$534,$A27),0)</f>
        <v/>
      </c>
    </row>
    <row r="28">
      <c r="A28" t="inlineStr">
        <is>
          <t>AM</t>
        </is>
      </c>
      <c r="B28" s="14">
        <f>SUMIFS(Data!$C$2:$C$534,Data!$B$2:$B$534,$A28)</f>
        <v/>
      </c>
      <c r="C28" s="15">
        <f>SUMIFS(Data!$E$2:$E$534,Data!$B$2:$B$534,$A28)</f>
        <v/>
      </c>
      <c r="D28" s="16">
        <f>100*C28/SUM($C$5:$C$31)</f>
        <v/>
      </c>
      <c r="E28">
        <f>RANK(C28,$C$5:$C$31)</f>
        <v/>
      </c>
      <c r="F28" s="16">
        <f>IFERROR(100*SUMIFS(Data!$F$2:$F$534,Data!$B$2:$B$534,$A28)/SUMIFS(Data!$G$2:$G$534,Data!$B$2:$B$534,$A28),0)</f>
        <v/>
      </c>
      <c r="G28" s="18">
        <f>IFERROR(SUMIFS(Data!$J$2:$J$534,Data!$B$2:$B$534,$A28)/SUMIFS(Data!$I$2:$I$534,Data!$B$2:$B$534,$A28),0)</f>
        <v/>
      </c>
    </row>
    <row r="29">
      <c r="A29" t="inlineStr">
        <is>
          <t>AC</t>
        </is>
      </c>
      <c r="B29" s="14">
        <f>SUMIFS(Data!$C$2:$C$534,Data!$B$2:$B$534,$A29)</f>
        <v/>
      </c>
      <c r="C29" s="15">
        <f>SUMIFS(Data!$E$2:$E$534,Data!$B$2:$B$534,$A29)</f>
        <v/>
      </c>
      <c r="D29" s="16">
        <f>100*C29/SUM($C$5:$C$31)</f>
        <v/>
      </c>
      <c r="E29">
        <f>RANK(C29,$C$5:$C$31)</f>
        <v/>
      </c>
      <c r="F29" s="16">
        <f>IFERROR(100*SUMIFS(Data!$F$2:$F$534,Data!$B$2:$B$534,$A29)/SUMIFS(Data!$G$2:$G$534,Data!$B$2:$B$534,$A29),0)</f>
        <v/>
      </c>
      <c r="G29" s="18">
        <f>IFERROR(SUMIFS(Data!$J$2:$J$534,Data!$B$2:$B$534,$A29)/SUMIFS(Data!$I$2:$I$534,Data!$B$2:$B$534,$A29),0)</f>
        <v/>
      </c>
    </row>
    <row r="30">
      <c r="A30" t="inlineStr">
        <is>
          <t>AP</t>
        </is>
      </c>
      <c r="B30" s="14">
        <f>SUMIFS(Data!$C$2:$C$534,Data!$B$2:$B$534,$A30)</f>
        <v/>
      </c>
      <c r="C30" s="15">
        <f>SUMIFS(Data!$E$2:$E$534,Data!$B$2:$B$534,$A30)</f>
        <v/>
      </c>
      <c r="D30" s="16">
        <f>100*C30/SUM($C$5:$C$31)</f>
        <v/>
      </c>
      <c r="E30">
        <f>RANK(C30,$C$5:$C$31)</f>
        <v/>
      </c>
      <c r="F30" s="16">
        <f>IFERROR(100*SUMIFS(Data!$F$2:$F$534,Data!$B$2:$B$534,$A30)/SUMIFS(Data!$G$2:$G$534,Data!$B$2:$B$534,$A30),0)</f>
        <v/>
      </c>
      <c r="G30" s="18">
        <f>IFERROR(SUMIFS(Data!$J$2:$J$534,Data!$B$2:$B$534,$A30)/SUMIFS(Data!$I$2:$I$534,Data!$B$2:$B$534,$A30),0)</f>
        <v/>
      </c>
    </row>
    <row r="31">
      <c r="A31" t="inlineStr">
        <is>
          <t>RR</t>
        </is>
      </c>
      <c r="B31" s="14">
        <f>SUMIFS(Data!$C$2:$C$534,Data!$B$2:$B$534,$A31)</f>
        <v/>
      </c>
      <c r="C31" s="15">
        <f>SUMIFS(Data!$E$2:$E$534,Data!$B$2:$B$534,$A31)</f>
        <v/>
      </c>
      <c r="D31" s="16">
        <f>100*C31/SUM($C$5:$C$31)</f>
        <v/>
      </c>
      <c r="E31">
        <f>RANK(C31,$C$5:$C$31)</f>
        <v/>
      </c>
      <c r="F31" s="16">
        <f>IFERROR(100*SUMIFS(Data!$F$2:$F$534,Data!$B$2:$B$534,$A31)/SUMIFS(Data!$G$2:$G$534,Data!$B$2:$B$534,$A31),0)</f>
        <v/>
      </c>
      <c r="G31" s="18">
        <f>IFERROR(SUMIFS(Data!$J$2:$J$534,Data!$B$2:$B$534,$A31)/SUMIFS(Data!$I$2:$I$534,Data!$B$2:$B$534,$A31),0)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Top Categories</t>
        </is>
      </c>
    </row>
    <row r="2">
      <c r="A2" s="2" t="inlineStr">
        <is>
          <t>Delivered orders, whole period, all states.</t>
        </is>
      </c>
    </row>
    <row r="4">
      <c r="A4" s="12" t="inlineStr">
        <is>
          <t>Category</t>
        </is>
      </c>
      <c r="B4" s="12" t="inlineStr">
        <is>
          <t>Orders</t>
        </is>
      </c>
      <c r="C4" s="12" t="inlineStr">
        <is>
          <t>Items sold</t>
        </is>
      </c>
      <c r="D4" s="12" t="inlineStr">
        <is>
          <t>Revenue</t>
        </is>
      </c>
      <c r="E4" s="12" t="inlineStr">
        <is>
          <t>Share of revenue</t>
        </is>
      </c>
    </row>
    <row r="5">
      <c r="A5" t="inlineStr">
        <is>
          <t>health_beauty</t>
        </is>
      </c>
      <c r="B5" s="14">
        <f>SUMIFS(CategoryData!$C$2:$C$1242,CategoryData!$B$2:$B$1242,$A5)</f>
        <v/>
      </c>
      <c r="C5" s="14">
        <f>SUMIFS(CategoryData!$D$2:$D$1242,CategoryData!$B$2:$B$1242,$A5)</f>
        <v/>
      </c>
      <c r="D5" s="15">
        <f>SUMIFS(CategoryData!$E$2:$E$1242,CategoryData!$B$2:$B$1242,$A5)</f>
        <v/>
      </c>
      <c r="E5" s="16">
        <f>100*D5/SUM($D$5:$D$78)</f>
        <v/>
      </c>
    </row>
    <row r="6">
      <c r="A6" t="inlineStr">
        <is>
          <t>watches_gifts</t>
        </is>
      </c>
      <c r="B6" s="14">
        <f>SUMIFS(CategoryData!$C$2:$C$1242,CategoryData!$B$2:$B$1242,$A6)</f>
        <v/>
      </c>
      <c r="C6" s="14">
        <f>SUMIFS(CategoryData!$D$2:$D$1242,CategoryData!$B$2:$B$1242,$A6)</f>
        <v/>
      </c>
      <c r="D6" s="15">
        <f>SUMIFS(CategoryData!$E$2:$E$1242,CategoryData!$B$2:$B$1242,$A6)</f>
        <v/>
      </c>
      <c r="E6" s="16">
        <f>100*D6/SUM($D$5:$D$78)</f>
        <v/>
      </c>
    </row>
    <row r="7">
      <c r="A7" t="inlineStr">
        <is>
          <t>bed_bath_table</t>
        </is>
      </c>
      <c r="B7" s="14">
        <f>SUMIFS(CategoryData!$C$2:$C$1242,CategoryData!$B$2:$B$1242,$A7)</f>
        <v/>
      </c>
      <c r="C7" s="14">
        <f>SUMIFS(CategoryData!$D$2:$D$1242,CategoryData!$B$2:$B$1242,$A7)</f>
        <v/>
      </c>
      <c r="D7" s="15">
        <f>SUMIFS(CategoryData!$E$2:$E$1242,CategoryData!$B$2:$B$1242,$A7)</f>
        <v/>
      </c>
      <c r="E7" s="16">
        <f>100*D7/SUM($D$5:$D$78)</f>
        <v/>
      </c>
    </row>
    <row r="8">
      <c r="A8" t="inlineStr">
        <is>
          <t>sports_leisure</t>
        </is>
      </c>
      <c r="B8" s="14">
        <f>SUMIFS(CategoryData!$C$2:$C$1242,CategoryData!$B$2:$B$1242,$A8)</f>
        <v/>
      </c>
      <c r="C8" s="14">
        <f>SUMIFS(CategoryData!$D$2:$D$1242,CategoryData!$B$2:$B$1242,$A8)</f>
        <v/>
      </c>
      <c r="D8" s="15">
        <f>SUMIFS(CategoryData!$E$2:$E$1242,CategoryData!$B$2:$B$1242,$A8)</f>
        <v/>
      </c>
      <c r="E8" s="16">
        <f>100*D8/SUM($D$5:$D$78)</f>
        <v/>
      </c>
    </row>
    <row r="9">
      <c r="A9" t="inlineStr">
        <is>
          <t>computers_accessories</t>
        </is>
      </c>
      <c r="B9" s="14">
        <f>SUMIFS(CategoryData!$C$2:$C$1242,CategoryData!$B$2:$B$1242,$A9)</f>
        <v/>
      </c>
      <c r="C9" s="14">
        <f>SUMIFS(CategoryData!$D$2:$D$1242,CategoryData!$B$2:$B$1242,$A9)</f>
        <v/>
      </c>
      <c r="D9" s="15">
        <f>SUMIFS(CategoryData!$E$2:$E$1242,CategoryData!$B$2:$B$1242,$A9)</f>
        <v/>
      </c>
      <c r="E9" s="16">
        <f>100*D9/SUM($D$5:$D$78)</f>
        <v/>
      </c>
    </row>
    <row r="10">
      <c r="A10" t="inlineStr">
        <is>
          <t>furniture_decor</t>
        </is>
      </c>
      <c r="B10" s="14">
        <f>SUMIFS(CategoryData!$C$2:$C$1242,CategoryData!$B$2:$B$1242,$A10)</f>
        <v/>
      </c>
      <c r="C10" s="14">
        <f>SUMIFS(CategoryData!$D$2:$D$1242,CategoryData!$B$2:$B$1242,$A10)</f>
        <v/>
      </c>
      <c r="D10" s="15">
        <f>SUMIFS(CategoryData!$E$2:$E$1242,CategoryData!$B$2:$B$1242,$A10)</f>
        <v/>
      </c>
      <c r="E10" s="16">
        <f>100*D10/SUM($D$5:$D$78)</f>
        <v/>
      </c>
    </row>
    <row r="11">
      <c r="A11" t="inlineStr">
        <is>
          <t>housewares</t>
        </is>
      </c>
      <c r="B11" s="14">
        <f>SUMIFS(CategoryData!$C$2:$C$1242,CategoryData!$B$2:$B$1242,$A11)</f>
        <v/>
      </c>
      <c r="C11" s="14">
        <f>SUMIFS(CategoryData!$D$2:$D$1242,CategoryData!$B$2:$B$1242,$A11)</f>
        <v/>
      </c>
      <c r="D11" s="15">
        <f>SUMIFS(CategoryData!$E$2:$E$1242,CategoryData!$B$2:$B$1242,$A11)</f>
        <v/>
      </c>
      <c r="E11" s="16">
        <f>100*D11/SUM($D$5:$D$78)</f>
        <v/>
      </c>
    </row>
    <row r="12">
      <c r="A12" t="inlineStr">
        <is>
          <t>cool_stuff</t>
        </is>
      </c>
      <c r="B12" s="14">
        <f>SUMIFS(CategoryData!$C$2:$C$1242,CategoryData!$B$2:$B$1242,$A12)</f>
        <v/>
      </c>
      <c r="C12" s="14">
        <f>SUMIFS(CategoryData!$D$2:$D$1242,CategoryData!$B$2:$B$1242,$A12)</f>
        <v/>
      </c>
      <c r="D12" s="15">
        <f>SUMIFS(CategoryData!$E$2:$E$1242,CategoryData!$B$2:$B$1242,$A12)</f>
        <v/>
      </c>
      <c r="E12" s="16">
        <f>100*D12/SUM($D$5:$D$78)</f>
        <v/>
      </c>
    </row>
    <row r="13">
      <c r="A13" t="inlineStr">
        <is>
          <t>auto</t>
        </is>
      </c>
      <c r="B13" s="14">
        <f>SUMIFS(CategoryData!$C$2:$C$1242,CategoryData!$B$2:$B$1242,$A13)</f>
        <v/>
      </c>
      <c r="C13" s="14">
        <f>SUMIFS(CategoryData!$D$2:$D$1242,CategoryData!$B$2:$B$1242,$A13)</f>
        <v/>
      </c>
      <c r="D13" s="15">
        <f>SUMIFS(CategoryData!$E$2:$E$1242,CategoryData!$B$2:$B$1242,$A13)</f>
        <v/>
      </c>
      <c r="E13" s="16">
        <f>100*D13/SUM($D$5:$D$78)</f>
        <v/>
      </c>
    </row>
    <row r="14">
      <c r="A14" t="inlineStr">
        <is>
          <t>garden_tools</t>
        </is>
      </c>
      <c r="B14" s="14">
        <f>SUMIFS(CategoryData!$C$2:$C$1242,CategoryData!$B$2:$B$1242,$A14)</f>
        <v/>
      </c>
      <c r="C14" s="14">
        <f>SUMIFS(CategoryData!$D$2:$D$1242,CategoryData!$B$2:$B$1242,$A14)</f>
        <v/>
      </c>
      <c r="D14" s="15">
        <f>SUMIFS(CategoryData!$E$2:$E$1242,CategoryData!$B$2:$B$1242,$A14)</f>
        <v/>
      </c>
      <c r="E14" s="16">
        <f>100*D14/SUM($D$5:$D$78)</f>
        <v/>
      </c>
    </row>
    <row r="15">
      <c r="A15" t="inlineStr">
        <is>
          <t>toys</t>
        </is>
      </c>
      <c r="B15" s="14">
        <f>SUMIFS(CategoryData!$C$2:$C$1242,CategoryData!$B$2:$B$1242,$A15)</f>
        <v/>
      </c>
      <c r="C15" s="14">
        <f>SUMIFS(CategoryData!$D$2:$D$1242,CategoryData!$B$2:$B$1242,$A15)</f>
        <v/>
      </c>
      <c r="D15" s="15">
        <f>SUMIFS(CategoryData!$E$2:$E$1242,CategoryData!$B$2:$B$1242,$A15)</f>
        <v/>
      </c>
      <c r="E15" s="16">
        <f>100*D15/SUM($D$5:$D$78)</f>
        <v/>
      </c>
    </row>
    <row r="16">
      <c r="A16" t="inlineStr">
        <is>
          <t>baby</t>
        </is>
      </c>
      <c r="B16" s="14">
        <f>SUMIFS(CategoryData!$C$2:$C$1242,CategoryData!$B$2:$B$1242,$A16)</f>
        <v/>
      </c>
      <c r="C16" s="14">
        <f>SUMIFS(CategoryData!$D$2:$D$1242,CategoryData!$B$2:$B$1242,$A16)</f>
        <v/>
      </c>
      <c r="D16" s="15">
        <f>SUMIFS(CategoryData!$E$2:$E$1242,CategoryData!$B$2:$B$1242,$A16)</f>
        <v/>
      </c>
      <c r="E16" s="16">
        <f>100*D16/SUM($D$5:$D$78)</f>
        <v/>
      </c>
    </row>
    <row r="17">
      <c r="A17" t="inlineStr">
        <is>
          <t>perfumery</t>
        </is>
      </c>
      <c r="B17" s="14">
        <f>SUMIFS(CategoryData!$C$2:$C$1242,CategoryData!$B$2:$B$1242,$A17)</f>
        <v/>
      </c>
      <c r="C17" s="14">
        <f>SUMIFS(CategoryData!$D$2:$D$1242,CategoryData!$B$2:$B$1242,$A17)</f>
        <v/>
      </c>
      <c r="D17" s="15">
        <f>SUMIFS(CategoryData!$E$2:$E$1242,CategoryData!$B$2:$B$1242,$A17)</f>
        <v/>
      </c>
      <c r="E17" s="16">
        <f>100*D17/SUM($D$5:$D$78)</f>
        <v/>
      </c>
    </row>
    <row r="18">
      <c r="A18" t="inlineStr">
        <is>
          <t>telephony</t>
        </is>
      </c>
      <c r="B18" s="14">
        <f>SUMIFS(CategoryData!$C$2:$C$1242,CategoryData!$B$2:$B$1242,$A18)</f>
        <v/>
      </c>
      <c r="C18" s="14">
        <f>SUMIFS(CategoryData!$D$2:$D$1242,CategoryData!$B$2:$B$1242,$A18)</f>
        <v/>
      </c>
      <c r="D18" s="15">
        <f>SUMIFS(CategoryData!$E$2:$E$1242,CategoryData!$B$2:$B$1242,$A18)</f>
        <v/>
      </c>
      <c r="E18" s="16">
        <f>100*D18/SUM($D$5:$D$78)</f>
        <v/>
      </c>
    </row>
    <row r="19">
      <c r="A19" t="inlineStr">
        <is>
          <t>office_furniture</t>
        </is>
      </c>
      <c r="B19" s="14">
        <f>SUMIFS(CategoryData!$C$2:$C$1242,CategoryData!$B$2:$B$1242,$A19)</f>
        <v/>
      </c>
      <c r="C19" s="14">
        <f>SUMIFS(CategoryData!$D$2:$D$1242,CategoryData!$B$2:$B$1242,$A19)</f>
        <v/>
      </c>
      <c r="D19" s="15">
        <f>SUMIFS(CategoryData!$E$2:$E$1242,CategoryData!$B$2:$B$1242,$A19)</f>
        <v/>
      </c>
      <c r="E19" s="16">
        <f>100*D19/SUM($D$5:$D$78)</f>
        <v/>
      </c>
    </row>
    <row r="20">
      <c r="A20" t="inlineStr">
        <is>
          <t>stationery</t>
        </is>
      </c>
      <c r="B20" s="14">
        <f>SUMIFS(CategoryData!$C$2:$C$1242,CategoryData!$B$2:$B$1242,$A20)</f>
        <v/>
      </c>
      <c r="C20" s="14">
        <f>SUMIFS(CategoryData!$D$2:$D$1242,CategoryData!$B$2:$B$1242,$A20)</f>
        <v/>
      </c>
      <c r="D20" s="15">
        <f>SUMIFS(CategoryData!$E$2:$E$1242,CategoryData!$B$2:$B$1242,$A20)</f>
        <v/>
      </c>
      <c r="E20" s="16">
        <f>100*D20/SUM($D$5:$D$78)</f>
        <v/>
      </c>
    </row>
    <row r="21">
      <c r="A21" t="inlineStr">
        <is>
          <t>pet_shop</t>
        </is>
      </c>
      <c r="B21" s="14">
        <f>SUMIFS(CategoryData!$C$2:$C$1242,CategoryData!$B$2:$B$1242,$A21)</f>
        <v/>
      </c>
      <c r="C21" s="14">
        <f>SUMIFS(CategoryData!$D$2:$D$1242,CategoryData!$B$2:$B$1242,$A21)</f>
        <v/>
      </c>
      <c r="D21" s="15">
        <f>SUMIFS(CategoryData!$E$2:$E$1242,CategoryData!$B$2:$B$1242,$A21)</f>
        <v/>
      </c>
      <c r="E21" s="16">
        <f>100*D21/SUM($D$5:$D$78)</f>
        <v/>
      </c>
    </row>
    <row r="22">
      <c r="A22" t="inlineStr">
        <is>
          <t>computers</t>
        </is>
      </c>
      <c r="B22" s="14">
        <f>SUMIFS(CategoryData!$C$2:$C$1242,CategoryData!$B$2:$B$1242,$A22)</f>
        <v/>
      </c>
      <c r="C22" s="14">
        <f>SUMIFS(CategoryData!$D$2:$D$1242,CategoryData!$B$2:$B$1242,$A22)</f>
        <v/>
      </c>
      <c r="D22" s="15">
        <f>SUMIFS(CategoryData!$E$2:$E$1242,CategoryData!$B$2:$B$1242,$A22)</f>
        <v/>
      </c>
      <c r="E22" s="16">
        <f>100*D22/SUM($D$5:$D$78)</f>
        <v/>
      </c>
    </row>
    <row r="23">
      <c r="A23" t="inlineStr">
        <is>
          <t>musical_instruments</t>
        </is>
      </c>
      <c r="B23" s="14">
        <f>SUMIFS(CategoryData!$C$2:$C$1242,CategoryData!$B$2:$B$1242,$A23)</f>
        <v/>
      </c>
      <c r="C23" s="14">
        <f>SUMIFS(CategoryData!$D$2:$D$1242,CategoryData!$B$2:$B$1242,$A23)</f>
        <v/>
      </c>
      <c r="D23" s="15">
        <f>SUMIFS(CategoryData!$E$2:$E$1242,CategoryData!$B$2:$B$1242,$A23)</f>
        <v/>
      </c>
      <c r="E23" s="16">
        <f>100*D23/SUM($D$5:$D$78)</f>
        <v/>
      </c>
    </row>
    <row r="24">
      <c r="A24" t="inlineStr">
        <is>
          <t>electronics</t>
        </is>
      </c>
      <c r="B24" s="14">
        <f>SUMIFS(CategoryData!$C$2:$C$1242,CategoryData!$B$2:$B$1242,$A24)</f>
        <v/>
      </c>
      <c r="C24" s="14">
        <f>SUMIFS(CategoryData!$D$2:$D$1242,CategoryData!$B$2:$B$1242,$A24)</f>
        <v/>
      </c>
      <c r="D24" s="15">
        <f>SUMIFS(CategoryData!$E$2:$E$1242,CategoryData!$B$2:$B$1242,$A24)</f>
        <v/>
      </c>
      <c r="E24" s="16">
        <f>100*D24/SUM($D$5:$D$78)</f>
        <v/>
      </c>
    </row>
    <row r="25">
      <c r="A25" t="inlineStr">
        <is>
          <t>small_appliances</t>
        </is>
      </c>
      <c r="B25" s="14">
        <f>SUMIFS(CategoryData!$C$2:$C$1242,CategoryData!$B$2:$B$1242,$A25)</f>
        <v/>
      </c>
      <c r="C25" s="14">
        <f>SUMIFS(CategoryData!$D$2:$D$1242,CategoryData!$B$2:$B$1242,$A25)</f>
        <v/>
      </c>
      <c r="D25" s="15">
        <f>SUMIFS(CategoryData!$E$2:$E$1242,CategoryData!$B$2:$B$1242,$A25)</f>
        <v/>
      </c>
      <c r="E25" s="16">
        <f>100*D25/SUM($D$5:$D$78)</f>
        <v/>
      </c>
    </row>
    <row r="26">
      <c r="A26" t="inlineStr">
        <is>
          <t>unknown</t>
        </is>
      </c>
      <c r="B26" s="14">
        <f>SUMIFS(CategoryData!$C$2:$C$1242,CategoryData!$B$2:$B$1242,$A26)</f>
        <v/>
      </c>
      <c r="C26" s="14">
        <f>SUMIFS(CategoryData!$D$2:$D$1242,CategoryData!$B$2:$B$1242,$A26)</f>
        <v/>
      </c>
      <c r="D26" s="15">
        <f>SUMIFS(CategoryData!$E$2:$E$1242,CategoryData!$B$2:$B$1242,$A26)</f>
        <v/>
      </c>
      <c r="E26" s="16">
        <f>100*D26/SUM($D$5:$D$78)</f>
        <v/>
      </c>
    </row>
    <row r="27">
      <c r="A27" t="inlineStr">
        <is>
          <t>fashion_bags_accessories</t>
        </is>
      </c>
      <c r="B27" s="14">
        <f>SUMIFS(CategoryData!$C$2:$C$1242,CategoryData!$B$2:$B$1242,$A27)</f>
        <v/>
      </c>
      <c r="C27" s="14">
        <f>SUMIFS(CategoryData!$D$2:$D$1242,CategoryData!$B$2:$B$1242,$A27)</f>
        <v/>
      </c>
      <c r="D27" s="15">
        <f>SUMIFS(CategoryData!$E$2:$E$1242,CategoryData!$B$2:$B$1242,$A27)</f>
        <v/>
      </c>
      <c r="E27" s="16">
        <f>100*D27/SUM($D$5:$D$78)</f>
        <v/>
      </c>
    </row>
    <row r="28">
      <c r="A28" t="inlineStr">
        <is>
          <t>luggage_accessories</t>
        </is>
      </c>
      <c r="B28" s="14">
        <f>SUMIFS(CategoryData!$C$2:$C$1242,CategoryData!$B$2:$B$1242,$A28)</f>
        <v/>
      </c>
      <c r="C28" s="14">
        <f>SUMIFS(CategoryData!$D$2:$D$1242,CategoryData!$B$2:$B$1242,$A28)</f>
        <v/>
      </c>
      <c r="D28" s="15">
        <f>SUMIFS(CategoryData!$E$2:$E$1242,CategoryData!$B$2:$B$1242,$A28)</f>
        <v/>
      </c>
      <c r="E28" s="16">
        <f>100*D28/SUM($D$5:$D$78)</f>
        <v/>
      </c>
    </row>
    <row r="29">
      <c r="A29" t="inlineStr">
        <is>
          <t>consoles_games</t>
        </is>
      </c>
      <c r="B29" s="14">
        <f>SUMIFS(CategoryData!$C$2:$C$1242,CategoryData!$B$2:$B$1242,$A29)</f>
        <v/>
      </c>
      <c r="C29" s="14">
        <f>SUMIFS(CategoryData!$D$2:$D$1242,CategoryData!$B$2:$B$1242,$A29)</f>
        <v/>
      </c>
      <c r="D29" s="15">
        <f>SUMIFS(CategoryData!$E$2:$E$1242,CategoryData!$B$2:$B$1242,$A29)</f>
        <v/>
      </c>
      <c r="E29" s="16">
        <f>100*D29/SUM($D$5:$D$78)</f>
        <v/>
      </c>
    </row>
    <row r="30">
      <c r="A30" t="inlineStr">
        <is>
          <t>construction_tools_construction</t>
        </is>
      </c>
      <c r="B30" s="14">
        <f>SUMIFS(CategoryData!$C$2:$C$1242,CategoryData!$B$2:$B$1242,$A30)</f>
        <v/>
      </c>
      <c r="C30" s="14">
        <f>SUMIFS(CategoryData!$D$2:$D$1242,CategoryData!$B$2:$B$1242,$A30)</f>
        <v/>
      </c>
      <c r="D30" s="15">
        <f>SUMIFS(CategoryData!$E$2:$E$1242,CategoryData!$B$2:$B$1242,$A30)</f>
        <v/>
      </c>
      <c r="E30" s="16">
        <f>100*D30/SUM($D$5:$D$78)</f>
        <v/>
      </c>
    </row>
    <row r="31">
      <c r="A31" t="inlineStr">
        <is>
          <t>home_appliances_2</t>
        </is>
      </c>
      <c r="B31" s="14">
        <f>SUMIFS(CategoryData!$C$2:$C$1242,CategoryData!$B$2:$B$1242,$A31)</f>
        <v/>
      </c>
      <c r="C31" s="14">
        <f>SUMIFS(CategoryData!$D$2:$D$1242,CategoryData!$B$2:$B$1242,$A31)</f>
        <v/>
      </c>
      <c r="D31" s="15">
        <f>SUMIFS(CategoryData!$E$2:$E$1242,CategoryData!$B$2:$B$1242,$A31)</f>
        <v/>
      </c>
      <c r="E31" s="16">
        <f>100*D31/SUM($D$5:$D$78)</f>
        <v/>
      </c>
    </row>
    <row r="32">
      <c r="A32" t="inlineStr">
        <is>
          <t>home_construction</t>
        </is>
      </c>
      <c r="B32" s="14">
        <f>SUMIFS(CategoryData!$C$2:$C$1242,CategoryData!$B$2:$B$1242,$A32)</f>
        <v/>
      </c>
      <c r="C32" s="14">
        <f>SUMIFS(CategoryData!$D$2:$D$1242,CategoryData!$B$2:$B$1242,$A32)</f>
        <v/>
      </c>
      <c r="D32" s="15">
        <f>SUMIFS(CategoryData!$E$2:$E$1242,CategoryData!$B$2:$B$1242,$A32)</f>
        <v/>
      </c>
      <c r="E32" s="16">
        <f>100*D32/SUM($D$5:$D$78)</f>
        <v/>
      </c>
    </row>
    <row r="33">
      <c r="A33" t="inlineStr">
        <is>
          <t>home_appliances</t>
        </is>
      </c>
      <c r="B33" s="14">
        <f>SUMIFS(CategoryData!$C$2:$C$1242,CategoryData!$B$2:$B$1242,$A33)</f>
        <v/>
      </c>
      <c r="C33" s="14">
        <f>SUMIFS(CategoryData!$D$2:$D$1242,CategoryData!$B$2:$B$1242,$A33)</f>
        <v/>
      </c>
      <c r="D33" s="15">
        <f>SUMIFS(CategoryData!$E$2:$E$1242,CategoryData!$B$2:$B$1242,$A33)</f>
        <v/>
      </c>
      <c r="E33" s="16">
        <f>100*D33/SUM($D$5:$D$78)</f>
        <v/>
      </c>
    </row>
    <row r="34">
      <c r="A34" t="inlineStr">
        <is>
          <t>furniture_living_room</t>
        </is>
      </c>
      <c r="B34" s="14">
        <f>SUMIFS(CategoryData!$C$2:$C$1242,CategoryData!$B$2:$B$1242,$A34)</f>
        <v/>
      </c>
      <c r="C34" s="14">
        <f>SUMIFS(CategoryData!$D$2:$D$1242,CategoryData!$B$2:$B$1242,$A34)</f>
        <v/>
      </c>
      <c r="D34" s="15">
        <f>SUMIFS(CategoryData!$E$2:$E$1242,CategoryData!$B$2:$B$1242,$A34)</f>
        <v/>
      </c>
      <c r="E34" s="16">
        <f>100*D34/SUM($D$5:$D$78)</f>
        <v/>
      </c>
    </row>
    <row r="35">
      <c r="A35" t="inlineStr">
        <is>
          <t>agro_industry_and_commerce</t>
        </is>
      </c>
      <c r="B35" s="14">
        <f>SUMIFS(CategoryData!$C$2:$C$1242,CategoryData!$B$2:$B$1242,$A35)</f>
        <v/>
      </c>
      <c r="C35" s="14">
        <f>SUMIFS(CategoryData!$D$2:$D$1242,CategoryData!$B$2:$B$1242,$A35)</f>
        <v/>
      </c>
      <c r="D35" s="15">
        <f>SUMIFS(CategoryData!$E$2:$E$1242,CategoryData!$B$2:$B$1242,$A35)</f>
        <v/>
      </c>
      <c r="E35" s="16">
        <f>100*D35/SUM($D$5:$D$78)</f>
        <v/>
      </c>
    </row>
    <row r="36">
      <c r="A36" t="inlineStr">
        <is>
          <t>home_confort</t>
        </is>
      </c>
      <c r="B36" s="14">
        <f>SUMIFS(CategoryData!$C$2:$C$1242,CategoryData!$B$2:$B$1242,$A36)</f>
        <v/>
      </c>
      <c r="C36" s="14">
        <f>SUMIFS(CategoryData!$D$2:$D$1242,CategoryData!$B$2:$B$1242,$A36)</f>
        <v/>
      </c>
      <c r="D36" s="15">
        <f>SUMIFS(CategoryData!$E$2:$E$1242,CategoryData!$B$2:$B$1242,$A36)</f>
        <v/>
      </c>
      <c r="E36" s="16">
        <f>100*D36/SUM($D$5:$D$78)</f>
        <v/>
      </c>
    </row>
    <row r="37">
      <c r="A37" t="inlineStr">
        <is>
          <t>fixed_telephony</t>
        </is>
      </c>
      <c r="B37" s="14">
        <f>SUMIFS(CategoryData!$C$2:$C$1242,CategoryData!$B$2:$B$1242,$A37)</f>
        <v/>
      </c>
      <c r="C37" s="14">
        <f>SUMIFS(CategoryData!$D$2:$D$1242,CategoryData!$B$2:$B$1242,$A37)</f>
        <v/>
      </c>
      <c r="D37" s="15">
        <f>SUMIFS(CategoryData!$E$2:$E$1242,CategoryData!$B$2:$B$1242,$A37)</f>
        <v/>
      </c>
      <c r="E37" s="16">
        <f>100*D37/SUM($D$5:$D$78)</f>
        <v/>
      </c>
    </row>
    <row r="38">
      <c r="A38" t="inlineStr">
        <is>
          <t>air_conditioning</t>
        </is>
      </c>
      <c r="B38" s="14">
        <f>SUMIFS(CategoryData!$C$2:$C$1242,CategoryData!$B$2:$B$1242,$A38)</f>
        <v/>
      </c>
      <c r="C38" s="14">
        <f>SUMIFS(CategoryData!$D$2:$D$1242,CategoryData!$B$2:$B$1242,$A38)</f>
        <v/>
      </c>
      <c r="D38" s="15">
        <f>SUMIFS(CategoryData!$E$2:$E$1242,CategoryData!$B$2:$B$1242,$A38)</f>
        <v/>
      </c>
      <c r="E38" s="16">
        <f>100*D38/SUM($D$5:$D$78)</f>
        <v/>
      </c>
    </row>
    <row r="39">
      <c r="A39" t="inlineStr">
        <is>
          <t>kitchen_dining_laundry_garden_furniture</t>
        </is>
      </c>
      <c r="B39" s="14">
        <f>SUMIFS(CategoryData!$C$2:$C$1242,CategoryData!$B$2:$B$1242,$A39)</f>
        <v/>
      </c>
      <c r="C39" s="14">
        <f>SUMIFS(CategoryData!$D$2:$D$1242,CategoryData!$B$2:$B$1242,$A39)</f>
        <v/>
      </c>
      <c r="D39" s="15">
        <f>SUMIFS(CategoryData!$E$2:$E$1242,CategoryData!$B$2:$B$1242,$A39)</f>
        <v/>
      </c>
      <c r="E39" s="16">
        <f>100*D39/SUM($D$5:$D$78)</f>
        <v/>
      </c>
    </row>
    <row r="40">
      <c r="A40" t="inlineStr">
        <is>
          <t>audio</t>
        </is>
      </c>
      <c r="B40" s="14">
        <f>SUMIFS(CategoryData!$C$2:$C$1242,CategoryData!$B$2:$B$1242,$A40)</f>
        <v/>
      </c>
      <c r="C40" s="14">
        <f>SUMIFS(CategoryData!$D$2:$D$1242,CategoryData!$B$2:$B$1242,$A40)</f>
        <v/>
      </c>
      <c r="D40" s="15">
        <f>SUMIFS(CategoryData!$E$2:$E$1242,CategoryData!$B$2:$B$1242,$A40)</f>
        <v/>
      </c>
      <c r="E40" s="16">
        <f>100*D40/SUM($D$5:$D$78)</f>
        <v/>
      </c>
    </row>
    <row r="41">
      <c r="A41" t="inlineStr">
        <is>
          <t>books_general_interest</t>
        </is>
      </c>
      <c r="B41" s="14">
        <f>SUMIFS(CategoryData!$C$2:$C$1242,CategoryData!$B$2:$B$1242,$A41)</f>
        <v/>
      </c>
      <c r="C41" s="14">
        <f>SUMIFS(CategoryData!$D$2:$D$1242,CategoryData!$B$2:$B$1242,$A41)</f>
        <v/>
      </c>
      <c r="D41" s="15">
        <f>SUMIFS(CategoryData!$E$2:$E$1242,CategoryData!$B$2:$B$1242,$A41)</f>
        <v/>
      </c>
      <c r="E41" s="16">
        <f>100*D41/SUM($D$5:$D$78)</f>
        <v/>
      </c>
    </row>
    <row r="42">
      <c r="A42" t="inlineStr">
        <is>
          <t>small_appliances_home_oven_and_coffee</t>
        </is>
      </c>
      <c r="B42" s="14">
        <f>SUMIFS(CategoryData!$C$2:$C$1242,CategoryData!$B$2:$B$1242,$A42)</f>
        <v/>
      </c>
      <c r="C42" s="14">
        <f>SUMIFS(CategoryData!$D$2:$D$1242,CategoryData!$B$2:$B$1242,$A42)</f>
        <v/>
      </c>
      <c r="D42" s="15">
        <f>SUMIFS(CategoryData!$E$2:$E$1242,CategoryData!$B$2:$B$1242,$A42)</f>
        <v/>
      </c>
      <c r="E42" s="16">
        <f>100*D42/SUM($D$5:$D$78)</f>
        <v/>
      </c>
    </row>
    <row r="43">
      <c r="A43" t="inlineStr">
        <is>
          <t>construction_tools_lights</t>
        </is>
      </c>
      <c r="B43" s="14">
        <f>SUMIFS(CategoryData!$C$2:$C$1242,CategoryData!$B$2:$B$1242,$A43)</f>
        <v/>
      </c>
      <c r="C43" s="14">
        <f>SUMIFS(CategoryData!$D$2:$D$1242,CategoryData!$B$2:$B$1242,$A43)</f>
        <v/>
      </c>
      <c r="D43" s="15">
        <f>SUMIFS(CategoryData!$E$2:$E$1242,CategoryData!$B$2:$B$1242,$A43)</f>
        <v/>
      </c>
      <c r="E43" s="16">
        <f>100*D43/SUM($D$5:$D$78)</f>
        <v/>
      </c>
    </row>
    <row r="44">
      <c r="A44" t="inlineStr">
        <is>
          <t>industry_commerce_and_business</t>
        </is>
      </c>
      <c r="B44" s="14">
        <f>SUMIFS(CategoryData!$C$2:$C$1242,CategoryData!$B$2:$B$1242,$A44)</f>
        <v/>
      </c>
      <c r="C44" s="14">
        <f>SUMIFS(CategoryData!$D$2:$D$1242,CategoryData!$B$2:$B$1242,$A44)</f>
        <v/>
      </c>
      <c r="D44" s="15">
        <f>SUMIFS(CategoryData!$E$2:$E$1242,CategoryData!$B$2:$B$1242,$A44)</f>
        <v/>
      </c>
      <c r="E44" s="16">
        <f>100*D44/SUM($D$5:$D$78)</f>
        <v/>
      </c>
    </row>
    <row r="45">
      <c r="A45" t="inlineStr">
        <is>
          <t>construction_tools_safety</t>
        </is>
      </c>
      <c r="B45" s="14">
        <f>SUMIFS(CategoryData!$C$2:$C$1242,CategoryData!$B$2:$B$1242,$A45)</f>
        <v/>
      </c>
      <c r="C45" s="14">
        <f>SUMIFS(CategoryData!$D$2:$D$1242,CategoryData!$B$2:$B$1242,$A45)</f>
        <v/>
      </c>
      <c r="D45" s="15">
        <f>SUMIFS(CategoryData!$E$2:$E$1242,CategoryData!$B$2:$B$1242,$A45)</f>
        <v/>
      </c>
      <c r="E45" s="16">
        <f>100*D45/SUM($D$5:$D$78)</f>
        <v/>
      </c>
    </row>
    <row r="46">
      <c r="A46" t="inlineStr">
        <is>
          <t>food</t>
        </is>
      </c>
      <c r="B46" s="14">
        <f>SUMIFS(CategoryData!$C$2:$C$1242,CategoryData!$B$2:$B$1242,$A46)</f>
        <v/>
      </c>
      <c r="C46" s="14">
        <f>SUMIFS(CategoryData!$D$2:$D$1242,CategoryData!$B$2:$B$1242,$A46)</f>
        <v/>
      </c>
      <c r="D46" s="15">
        <f>SUMIFS(CategoryData!$E$2:$E$1242,CategoryData!$B$2:$B$1242,$A46)</f>
        <v/>
      </c>
      <c r="E46" s="16">
        <f>100*D46/SUM($D$5:$D$78)</f>
        <v/>
      </c>
    </row>
    <row r="47">
      <c r="A47" t="inlineStr">
        <is>
          <t>market_place</t>
        </is>
      </c>
      <c r="B47" s="14">
        <f>SUMIFS(CategoryData!$C$2:$C$1242,CategoryData!$B$2:$B$1242,$A47)</f>
        <v/>
      </c>
      <c r="C47" s="14">
        <f>SUMIFS(CategoryData!$D$2:$D$1242,CategoryData!$B$2:$B$1242,$A47)</f>
        <v/>
      </c>
      <c r="D47" s="15">
        <f>SUMIFS(CategoryData!$E$2:$E$1242,CategoryData!$B$2:$B$1242,$A47)</f>
        <v/>
      </c>
      <c r="E47" s="16">
        <f>100*D47/SUM($D$5:$D$78)</f>
        <v/>
      </c>
    </row>
    <row r="48">
      <c r="A48" t="inlineStr">
        <is>
          <t>costruction_tools_garden</t>
        </is>
      </c>
      <c r="B48" s="14">
        <f>SUMIFS(CategoryData!$C$2:$C$1242,CategoryData!$B$2:$B$1242,$A48)</f>
        <v/>
      </c>
      <c r="C48" s="14">
        <f>SUMIFS(CategoryData!$D$2:$D$1242,CategoryData!$B$2:$B$1242,$A48)</f>
        <v/>
      </c>
      <c r="D48" s="15">
        <f>SUMIFS(CategoryData!$E$2:$E$1242,CategoryData!$B$2:$B$1242,$A48)</f>
        <v/>
      </c>
      <c r="E48" s="16">
        <f>100*D48/SUM($D$5:$D$78)</f>
        <v/>
      </c>
    </row>
    <row r="49">
      <c r="A49" t="inlineStr">
        <is>
          <t>signaling_and_security</t>
        </is>
      </c>
      <c r="B49" s="14">
        <f>SUMIFS(CategoryData!$C$2:$C$1242,CategoryData!$B$2:$B$1242,$A49)</f>
        <v/>
      </c>
      <c r="C49" s="14">
        <f>SUMIFS(CategoryData!$D$2:$D$1242,CategoryData!$B$2:$B$1242,$A49)</f>
        <v/>
      </c>
      <c r="D49" s="15">
        <f>SUMIFS(CategoryData!$E$2:$E$1242,CategoryData!$B$2:$B$1242,$A49)</f>
        <v/>
      </c>
      <c r="E49" s="16">
        <f>100*D49/SUM($D$5:$D$78)</f>
        <v/>
      </c>
    </row>
    <row r="50">
      <c r="A50" t="inlineStr">
        <is>
          <t>fashion_shoes</t>
        </is>
      </c>
      <c r="B50" s="14">
        <f>SUMIFS(CategoryData!$C$2:$C$1242,CategoryData!$B$2:$B$1242,$A50)</f>
        <v/>
      </c>
      <c r="C50" s="14">
        <f>SUMIFS(CategoryData!$D$2:$D$1242,CategoryData!$B$2:$B$1242,$A50)</f>
        <v/>
      </c>
      <c r="D50" s="15">
        <f>SUMIFS(CategoryData!$E$2:$E$1242,CategoryData!$B$2:$B$1242,$A50)</f>
        <v/>
      </c>
      <c r="E50" s="16">
        <f>100*D50/SUM($D$5:$D$78)</f>
        <v/>
      </c>
    </row>
    <row r="51">
      <c r="A51" t="inlineStr">
        <is>
          <t>art</t>
        </is>
      </c>
      <c r="B51" s="14">
        <f>SUMIFS(CategoryData!$C$2:$C$1242,CategoryData!$B$2:$B$1242,$A51)</f>
        <v/>
      </c>
      <c r="C51" s="14">
        <f>SUMIFS(CategoryData!$D$2:$D$1242,CategoryData!$B$2:$B$1242,$A51)</f>
        <v/>
      </c>
      <c r="D51" s="15">
        <f>SUMIFS(CategoryData!$E$2:$E$1242,CategoryData!$B$2:$B$1242,$A51)</f>
        <v/>
      </c>
      <c r="E51" s="16">
        <f>100*D51/SUM($D$5:$D$78)</f>
        <v/>
      </c>
    </row>
    <row r="52">
      <c r="A52" t="inlineStr">
        <is>
          <t>drinks</t>
        </is>
      </c>
      <c r="B52" s="14">
        <f>SUMIFS(CategoryData!$C$2:$C$1242,CategoryData!$B$2:$B$1242,$A52)</f>
        <v/>
      </c>
      <c r="C52" s="14">
        <f>SUMIFS(CategoryData!$D$2:$D$1242,CategoryData!$B$2:$B$1242,$A52)</f>
        <v/>
      </c>
      <c r="D52" s="15">
        <f>SUMIFS(CategoryData!$E$2:$E$1242,CategoryData!$B$2:$B$1242,$A52)</f>
        <v/>
      </c>
      <c r="E52" s="16">
        <f>100*D52/SUM($D$5:$D$78)</f>
        <v/>
      </c>
    </row>
    <row r="53">
      <c r="A53" t="inlineStr">
        <is>
          <t>furniture_bedroom</t>
        </is>
      </c>
      <c r="B53" s="14">
        <f>SUMIFS(CategoryData!$C$2:$C$1242,CategoryData!$B$2:$B$1242,$A53)</f>
        <v/>
      </c>
      <c r="C53" s="14">
        <f>SUMIFS(CategoryData!$D$2:$D$1242,CategoryData!$B$2:$B$1242,$A53)</f>
        <v/>
      </c>
      <c r="D53" s="15">
        <f>SUMIFS(CategoryData!$E$2:$E$1242,CategoryData!$B$2:$B$1242,$A53)</f>
        <v/>
      </c>
      <c r="E53" s="16">
        <f>100*D53/SUM($D$5:$D$78)</f>
        <v/>
      </c>
    </row>
    <row r="54">
      <c r="A54" t="inlineStr">
        <is>
          <t>books_technical</t>
        </is>
      </c>
      <c r="B54" s="14">
        <f>SUMIFS(CategoryData!$C$2:$C$1242,CategoryData!$B$2:$B$1242,$A54)</f>
        <v/>
      </c>
      <c r="C54" s="14">
        <f>SUMIFS(CategoryData!$D$2:$D$1242,CategoryData!$B$2:$B$1242,$A54)</f>
        <v/>
      </c>
      <c r="D54" s="15">
        <f>SUMIFS(CategoryData!$E$2:$E$1242,CategoryData!$B$2:$B$1242,$A54)</f>
        <v/>
      </c>
      <c r="E54" s="16">
        <f>100*D54/SUM($D$5:$D$78)</f>
        <v/>
      </c>
    </row>
    <row r="55">
      <c r="A55" t="inlineStr">
        <is>
          <t>food_drink</t>
        </is>
      </c>
      <c r="B55" s="14">
        <f>SUMIFS(CategoryData!$C$2:$C$1242,CategoryData!$B$2:$B$1242,$A55)</f>
        <v/>
      </c>
      <c r="C55" s="14">
        <f>SUMIFS(CategoryData!$D$2:$D$1242,CategoryData!$B$2:$B$1242,$A55)</f>
        <v/>
      </c>
      <c r="D55" s="15">
        <f>SUMIFS(CategoryData!$E$2:$E$1242,CategoryData!$B$2:$B$1242,$A55)</f>
        <v/>
      </c>
      <c r="E55" s="16">
        <f>100*D55/SUM($D$5:$D$78)</f>
        <v/>
      </c>
    </row>
    <row r="56">
      <c r="A56" t="inlineStr">
        <is>
          <t>costruction_tools_tools</t>
        </is>
      </c>
      <c r="B56" s="14">
        <f>SUMIFS(CategoryData!$C$2:$C$1242,CategoryData!$B$2:$B$1242,$A56)</f>
        <v/>
      </c>
      <c r="C56" s="14">
        <f>SUMIFS(CategoryData!$D$2:$D$1242,CategoryData!$B$2:$B$1242,$A56)</f>
        <v/>
      </c>
      <c r="D56" s="15">
        <f>SUMIFS(CategoryData!$E$2:$E$1242,CategoryData!$B$2:$B$1242,$A56)</f>
        <v/>
      </c>
      <c r="E56" s="16">
        <f>100*D56/SUM($D$5:$D$78)</f>
        <v/>
      </c>
    </row>
    <row r="57">
      <c r="A57" t="inlineStr">
        <is>
          <t>fashion_male_clothing</t>
        </is>
      </c>
      <c r="B57" s="14">
        <f>SUMIFS(CategoryData!$C$2:$C$1242,CategoryData!$B$2:$B$1242,$A57)</f>
        <v/>
      </c>
      <c r="C57" s="14">
        <f>SUMIFS(CategoryData!$D$2:$D$1242,CategoryData!$B$2:$B$1242,$A57)</f>
        <v/>
      </c>
      <c r="D57" s="15">
        <f>SUMIFS(CategoryData!$E$2:$E$1242,CategoryData!$B$2:$B$1242,$A57)</f>
        <v/>
      </c>
      <c r="E57" s="16">
        <f>100*D57/SUM($D$5:$D$78)</f>
        <v/>
      </c>
    </row>
    <row r="58">
      <c r="A58" t="inlineStr">
        <is>
          <t>christmas_supplies</t>
        </is>
      </c>
      <c r="B58" s="14">
        <f>SUMIFS(CategoryData!$C$2:$C$1242,CategoryData!$B$2:$B$1242,$A58)</f>
        <v/>
      </c>
      <c r="C58" s="14">
        <f>SUMIFS(CategoryData!$D$2:$D$1242,CategoryData!$B$2:$B$1242,$A58)</f>
        <v/>
      </c>
      <c r="D58" s="15">
        <f>SUMIFS(CategoryData!$E$2:$E$1242,CategoryData!$B$2:$B$1242,$A58)</f>
        <v/>
      </c>
      <c r="E58" s="16">
        <f>100*D58/SUM($D$5:$D$78)</f>
        <v/>
      </c>
    </row>
    <row r="59">
      <c r="A59" t="inlineStr">
        <is>
          <t>fashion_underwear_beach</t>
        </is>
      </c>
      <c r="B59" s="14">
        <f>SUMIFS(CategoryData!$C$2:$C$1242,CategoryData!$B$2:$B$1242,$A59)</f>
        <v/>
      </c>
      <c r="C59" s="14">
        <f>SUMIFS(CategoryData!$D$2:$D$1242,CategoryData!$B$2:$B$1242,$A59)</f>
        <v/>
      </c>
      <c r="D59" s="15">
        <f>SUMIFS(CategoryData!$E$2:$E$1242,CategoryData!$B$2:$B$1242,$A59)</f>
        <v/>
      </c>
      <c r="E59" s="16">
        <f>100*D59/SUM($D$5:$D$78)</f>
        <v/>
      </c>
    </row>
    <row r="60">
      <c r="A60" t="inlineStr">
        <is>
          <t>tablets_printing_image</t>
        </is>
      </c>
      <c r="B60" s="14">
        <f>SUMIFS(CategoryData!$C$2:$C$1242,CategoryData!$B$2:$B$1242,$A60)</f>
        <v/>
      </c>
      <c r="C60" s="14">
        <f>SUMIFS(CategoryData!$D$2:$D$1242,CategoryData!$B$2:$B$1242,$A60)</f>
        <v/>
      </c>
      <c r="D60" s="15">
        <f>SUMIFS(CategoryData!$E$2:$E$1242,CategoryData!$B$2:$B$1242,$A60)</f>
        <v/>
      </c>
      <c r="E60" s="16">
        <f>100*D60/SUM($D$5:$D$78)</f>
        <v/>
      </c>
    </row>
    <row r="61">
      <c r="A61" t="inlineStr">
        <is>
          <t>cine_photo</t>
        </is>
      </c>
      <c r="B61" s="14">
        <f>SUMIFS(CategoryData!$C$2:$C$1242,CategoryData!$B$2:$B$1242,$A61)</f>
        <v/>
      </c>
      <c r="C61" s="14">
        <f>SUMIFS(CategoryData!$D$2:$D$1242,CategoryData!$B$2:$B$1242,$A61)</f>
        <v/>
      </c>
      <c r="D61" s="15">
        <f>SUMIFS(CategoryData!$E$2:$E$1242,CategoryData!$B$2:$B$1242,$A61)</f>
        <v/>
      </c>
      <c r="E61" s="16">
        <f>100*D61/SUM($D$5:$D$78)</f>
        <v/>
      </c>
    </row>
    <row r="62">
      <c r="A62" t="inlineStr">
        <is>
          <t>music</t>
        </is>
      </c>
      <c r="B62" s="14">
        <f>SUMIFS(CategoryData!$C$2:$C$1242,CategoryData!$B$2:$B$1242,$A62)</f>
        <v/>
      </c>
      <c r="C62" s="14">
        <f>SUMIFS(CategoryData!$D$2:$D$1242,CategoryData!$B$2:$B$1242,$A62)</f>
        <v/>
      </c>
      <c r="D62" s="15">
        <f>SUMIFS(CategoryData!$E$2:$E$1242,CategoryData!$B$2:$B$1242,$A62)</f>
        <v/>
      </c>
      <c r="E62" s="16">
        <f>100*D62/SUM($D$5:$D$78)</f>
        <v/>
      </c>
    </row>
    <row r="63">
      <c r="A63" t="inlineStr">
        <is>
          <t>furniture_mattress_and_upholstery</t>
        </is>
      </c>
      <c r="B63" s="14">
        <f>SUMIFS(CategoryData!$C$2:$C$1242,CategoryData!$B$2:$B$1242,$A63)</f>
        <v/>
      </c>
      <c r="C63" s="14">
        <f>SUMIFS(CategoryData!$D$2:$D$1242,CategoryData!$B$2:$B$1242,$A63)</f>
        <v/>
      </c>
      <c r="D63" s="15">
        <f>SUMIFS(CategoryData!$E$2:$E$1242,CategoryData!$B$2:$B$1242,$A63)</f>
        <v/>
      </c>
      <c r="E63" s="16">
        <f>100*D63/SUM($D$5:$D$78)</f>
        <v/>
      </c>
    </row>
    <row r="64">
      <c r="A64" t="inlineStr">
        <is>
          <t>dvds_blu_ray</t>
        </is>
      </c>
      <c r="B64" s="14">
        <f>SUMIFS(CategoryData!$C$2:$C$1242,CategoryData!$B$2:$B$1242,$A64)</f>
        <v/>
      </c>
      <c r="C64" s="14">
        <f>SUMIFS(CategoryData!$D$2:$D$1242,CategoryData!$B$2:$B$1242,$A64)</f>
        <v/>
      </c>
      <c r="D64" s="15">
        <f>SUMIFS(CategoryData!$E$2:$E$1242,CategoryData!$B$2:$B$1242,$A64)</f>
        <v/>
      </c>
      <c r="E64" s="16">
        <f>100*D64/SUM($D$5:$D$78)</f>
        <v/>
      </c>
    </row>
    <row r="65">
      <c r="A65" t="inlineStr">
        <is>
          <t>party_supplies</t>
        </is>
      </c>
      <c r="B65" s="14">
        <f>SUMIFS(CategoryData!$C$2:$C$1242,CategoryData!$B$2:$B$1242,$A65)</f>
        <v/>
      </c>
      <c r="C65" s="14">
        <f>SUMIFS(CategoryData!$D$2:$D$1242,CategoryData!$B$2:$B$1242,$A65)</f>
        <v/>
      </c>
      <c r="D65" s="15">
        <f>SUMIFS(CategoryData!$E$2:$E$1242,CategoryData!$B$2:$B$1242,$A65)</f>
        <v/>
      </c>
      <c r="E65" s="16">
        <f>100*D65/SUM($D$5:$D$78)</f>
        <v/>
      </c>
    </row>
    <row r="66">
      <c r="A66" t="inlineStr">
        <is>
          <t>books_imported</t>
        </is>
      </c>
      <c r="B66" s="14">
        <f>SUMIFS(CategoryData!$C$2:$C$1242,CategoryData!$B$2:$B$1242,$A66)</f>
        <v/>
      </c>
      <c r="C66" s="14">
        <f>SUMIFS(CategoryData!$D$2:$D$1242,CategoryData!$B$2:$B$1242,$A66)</f>
        <v/>
      </c>
      <c r="D66" s="15">
        <f>SUMIFS(CategoryData!$E$2:$E$1242,CategoryData!$B$2:$B$1242,$A66)</f>
        <v/>
      </c>
      <c r="E66" s="16">
        <f>100*D66/SUM($D$5:$D$78)</f>
        <v/>
      </c>
    </row>
    <row r="67">
      <c r="A67" t="inlineStr">
        <is>
          <t>portable_kitchen_food_preparers</t>
        </is>
      </c>
      <c r="B67" s="14">
        <f>SUMIFS(CategoryData!$C$2:$C$1242,CategoryData!$B$2:$B$1242,$A67)</f>
        <v/>
      </c>
      <c r="C67" s="14">
        <f>SUMIFS(CategoryData!$D$2:$D$1242,CategoryData!$B$2:$B$1242,$A67)</f>
        <v/>
      </c>
      <c r="D67" s="15">
        <f>SUMIFS(CategoryData!$E$2:$E$1242,CategoryData!$B$2:$B$1242,$A67)</f>
        <v/>
      </c>
      <c r="E67" s="16">
        <f>100*D67/SUM($D$5:$D$78)</f>
        <v/>
      </c>
    </row>
    <row r="68">
      <c r="A68" t="inlineStr">
        <is>
          <t>fashio_female_clothing</t>
        </is>
      </c>
      <c r="B68" s="14">
        <f>SUMIFS(CategoryData!$C$2:$C$1242,CategoryData!$B$2:$B$1242,$A68)</f>
        <v/>
      </c>
      <c r="C68" s="14">
        <f>SUMIFS(CategoryData!$D$2:$D$1242,CategoryData!$B$2:$B$1242,$A68)</f>
        <v/>
      </c>
      <c r="D68" s="15">
        <f>SUMIFS(CategoryData!$E$2:$E$1242,CategoryData!$B$2:$B$1242,$A68)</f>
        <v/>
      </c>
      <c r="E68" s="16">
        <f>100*D68/SUM($D$5:$D$78)</f>
        <v/>
      </c>
    </row>
    <row r="69">
      <c r="A69" t="inlineStr">
        <is>
          <t>fashion_sport</t>
        </is>
      </c>
      <c r="B69" s="14">
        <f>SUMIFS(CategoryData!$C$2:$C$1242,CategoryData!$B$2:$B$1242,$A69)</f>
        <v/>
      </c>
      <c r="C69" s="14">
        <f>SUMIFS(CategoryData!$D$2:$D$1242,CategoryData!$B$2:$B$1242,$A69)</f>
        <v/>
      </c>
      <c r="D69" s="15">
        <f>SUMIFS(CategoryData!$E$2:$E$1242,CategoryData!$B$2:$B$1242,$A69)</f>
        <v/>
      </c>
      <c r="E69" s="16">
        <f>100*D69/SUM($D$5:$D$78)</f>
        <v/>
      </c>
    </row>
    <row r="70">
      <c r="A70" t="inlineStr">
        <is>
          <t>la_cuisine</t>
        </is>
      </c>
      <c r="B70" s="14">
        <f>SUMIFS(CategoryData!$C$2:$C$1242,CategoryData!$B$2:$B$1242,$A70)</f>
        <v/>
      </c>
      <c r="C70" s="14">
        <f>SUMIFS(CategoryData!$D$2:$D$1242,CategoryData!$B$2:$B$1242,$A70)</f>
        <v/>
      </c>
      <c r="D70" s="15">
        <f>SUMIFS(CategoryData!$E$2:$E$1242,CategoryData!$B$2:$B$1242,$A70)</f>
        <v/>
      </c>
      <c r="E70" s="16">
        <f>100*D70/SUM($D$5:$D$78)</f>
        <v/>
      </c>
    </row>
    <row r="71">
      <c r="A71" t="inlineStr">
        <is>
          <t>arts_and_craftmanship</t>
        </is>
      </c>
      <c r="B71" s="14">
        <f>SUMIFS(CategoryData!$C$2:$C$1242,CategoryData!$B$2:$B$1242,$A71)</f>
        <v/>
      </c>
      <c r="C71" s="14">
        <f>SUMIFS(CategoryData!$D$2:$D$1242,CategoryData!$B$2:$B$1242,$A71)</f>
        <v/>
      </c>
      <c r="D71" s="15">
        <f>SUMIFS(CategoryData!$E$2:$E$1242,CategoryData!$B$2:$B$1242,$A71)</f>
        <v/>
      </c>
      <c r="E71" s="16">
        <f>100*D71/SUM($D$5:$D$78)</f>
        <v/>
      </c>
    </row>
    <row r="72">
      <c r="A72" t="inlineStr">
        <is>
          <t>diapers_and_hygiene</t>
        </is>
      </c>
      <c r="B72" s="14">
        <f>SUMIFS(CategoryData!$C$2:$C$1242,CategoryData!$B$2:$B$1242,$A72)</f>
        <v/>
      </c>
      <c r="C72" s="14">
        <f>SUMIFS(CategoryData!$D$2:$D$1242,CategoryData!$B$2:$B$1242,$A72)</f>
        <v/>
      </c>
      <c r="D72" s="15">
        <f>SUMIFS(CategoryData!$E$2:$E$1242,CategoryData!$B$2:$B$1242,$A72)</f>
        <v/>
      </c>
      <c r="E72" s="16">
        <f>100*D72/SUM($D$5:$D$78)</f>
        <v/>
      </c>
    </row>
    <row r="73">
      <c r="A73" t="inlineStr">
        <is>
          <t>flowers</t>
        </is>
      </c>
      <c r="B73" s="14">
        <f>SUMIFS(CategoryData!$C$2:$C$1242,CategoryData!$B$2:$B$1242,$A73)</f>
        <v/>
      </c>
      <c r="C73" s="14">
        <f>SUMIFS(CategoryData!$D$2:$D$1242,CategoryData!$B$2:$B$1242,$A73)</f>
        <v/>
      </c>
      <c r="D73" s="15">
        <f>SUMIFS(CategoryData!$E$2:$E$1242,CategoryData!$B$2:$B$1242,$A73)</f>
        <v/>
      </c>
      <c r="E73" s="16">
        <f>100*D73/SUM($D$5:$D$78)</f>
        <v/>
      </c>
    </row>
    <row r="74">
      <c r="A74" t="inlineStr">
        <is>
          <t>pc_gamer</t>
        </is>
      </c>
      <c r="B74" s="14">
        <f>SUMIFS(CategoryData!$C$2:$C$1242,CategoryData!$B$2:$B$1242,$A74)</f>
        <v/>
      </c>
      <c r="C74" s="14">
        <f>SUMIFS(CategoryData!$D$2:$D$1242,CategoryData!$B$2:$B$1242,$A74)</f>
        <v/>
      </c>
      <c r="D74" s="15">
        <f>SUMIFS(CategoryData!$E$2:$E$1242,CategoryData!$B$2:$B$1242,$A74)</f>
        <v/>
      </c>
      <c r="E74" s="16">
        <f>100*D74/SUM($D$5:$D$78)</f>
        <v/>
      </c>
    </row>
    <row r="75">
      <c r="A75" t="inlineStr">
        <is>
          <t>home_comfort_2</t>
        </is>
      </c>
      <c r="B75" s="14">
        <f>SUMIFS(CategoryData!$C$2:$C$1242,CategoryData!$B$2:$B$1242,$A75)</f>
        <v/>
      </c>
      <c r="C75" s="14">
        <f>SUMIFS(CategoryData!$D$2:$D$1242,CategoryData!$B$2:$B$1242,$A75)</f>
        <v/>
      </c>
      <c r="D75" s="15">
        <f>SUMIFS(CategoryData!$E$2:$E$1242,CategoryData!$B$2:$B$1242,$A75)</f>
        <v/>
      </c>
      <c r="E75" s="16">
        <f>100*D75/SUM($D$5:$D$78)</f>
        <v/>
      </c>
    </row>
    <row r="76">
      <c r="A76" t="inlineStr">
        <is>
          <t>cds_dvds_musicals</t>
        </is>
      </c>
      <c r="B76" s="14">
        <f>SUMIFS(CategoryData!$C$2:$C$1242,CategoryData!$B$2:$B$1242,$A76)</f>
        <v/>
      </c>
      <c r="C76" s="14">
        <f>SUMIFS(CategoryData!$D$2:$D$1242,CategoryData!$B$2:$B$1242,$A76)</f>
        <v/>
      </c>
      <c r="D76" s="15">
        <f>SUMIFS(CategoryData!$E$2:$E$1242,CategoryData!$B$2:$B$1242,$A76)</f>
        <v/>
      </c>
      <c r="E76" s="16">
        <f>100*D76/SUM($D$5:$D$78)</f>
        <v/>
      </c>
    </row>
    <row r="77">
      <c r="A77" t="inlineStr">
        <is>
          <t>fashion_childrens_clothes</t>
        </is>
      </c>
      <c r="B77" s="14">
        <f>SUMIFS(CategoryData!$C$2:$C$1242,CategoryData!$B$2:$B$1242,$A77)</f>
        <v/>
      </c>
      <c r="C77" s="14">
        <f>SUMIFS(CategoryData!$D$2:$D$1242,CategoryData!$B$2:$B$1242,$A77)</f>
        <v/>
      </c>
      <c r="D77" s="15">
        <f>SUMIFS(CategoryData!$E$2:$E$1242,CategoryData!$B$2:$B$1242,$A77)</f>
        <v/>
      </c>
      <c r="E77" s="16">
        <f>100*D77/SUM($D$5:$D$78)</f>
        <v/>
      </c>
    </row>
    <row r="78">
      <c r="A78" t="inlineStr">
        <is>
          <t>security_and_services</t>
        </is>
      </c>
      <c r="B78" s="14">
        <f>SUMIFS(CategoryData!$C$2:$C$1242,CategoryData!$B$2:$B$1242,$A78)</f>
        <v/>
      </c>
      <c r="C78" s="14">
        <f>SUMIFS(CategoryData!$D$2:$D$1242,CategoryData!$B$2:$B$1242,$A78)</f>
        <v/>
      </c>
      <c r="D78" s="15">
        <f>SUMIFS(CategoryData!$E$2:$E$1242,CategoryData!$B$2:$B$1242,$A78)</f>
        <v/>
      </c>
      <c r="E78" s="16">
        <f>100*D78/SUM($D$5:$D$78)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month_start</t>
        </is>
      </c>
      <c r="B1" t="inlineStr">
        <is>
          <t>customer_state</t>
        </is>
      </c>
      <c r="C1" t="inlineStr">
        <is>
          <t>orders</t>
        </is>
      </c>
      <c r="D1" t="inlineStr">
        <is>
          <t>delivered_orders</t>
        </is>
      </c>
      <c r="E1" t="inlineStr">
        <is>
          <t>revenue</t>
        </is>
      </c>
      <c r="F1" t="inlineStr">
        <is>
          <t>late_orders</t>
        </is>
      </c>
      <c r="G1" t="inlineStr">
        <is>
          <t>orders_with_delivery_date</t>
        </is>
      </c>
      <c r="H1" t="inlineStr">
        <is>
          <t>delivery_days_sum</t>
        </is>
      </c>
      <c r="I1" t="inlineStr">
        <is>
          <t>reviews</t>
        </is>
      </c>
      <c r="J1" t="inlineStr">
        <is>
          <t>review_score_sum</t>
        </is>
      </c>
    </row>
    <row r="2">
      <c r="A2" s="19" t="n">
        <v>42736</v>
      </c>
      <c r="B2" t="inlineStr">
        <is>
          <t>AC</t>
        </is>
      </c>
      <c r="C2" t="n">
        <v>2</v>
      </c>
      <c r="D2" t="n">
        <v>2</v>
      </c>
      <c r="E2" t="n">
        <v>723.14</v>
      </c>
      <c r="F2" t="n">
        <v>0</v>
      </c>
      <c r="G2" t="n">
        <v>2</v>
      </c>
      <c r="H2" t="n">
        <v>41.67</v>
      </c>
      <c r="I2" t="n">
        <v>2</v>
      </c>
      <c r="J2" t="n">
        <v>4</v>
      </c>
    </row>
    <row r="3">
      <c r="A3" s="19" t="n">
        <v>42736</v>
      </c>
      <c r="B3" t="inlineStr">
        <is>
          <t>AL</t>
        </is>
      </c>
      <c r="C3" t="n">
        <v>2</v>
      </c>
      <c r="D3" t="n">
        <v>2</v>
      </c>
      <c r="E3" t="n">
        <v>454.36</v>
      </c>
      <c r="F3" t="n">
        <v>0</v>
      </c>
      <c r="G3" t="n">
        <v>2</v>
      </c>
      <c r="H3" t="n">
        <v>30.89</v>
      </c>
      <c r="I3" t="n">
        <v>2</v>
      </c>
      <c r="J3" t="n">
        <v>6</v>
      </c>
    </row>
    <row r="4">
      <c r="A4" s="19" t="n">
        <v>42736</v>
      </c>
      <c r="B4" t="inlineStr">
        <is>
          <t>BA</t>
        </is>
      </c>
      <c r="C4" t="n">
        <v>25</v>
      </c>
      <c r="D4" t="n">
        <v>24</v>
      </c>
      <c r="E4" t="n">
        <v>4325.37</v>
      </c>
      <c r="F4" t="n">
        <v>1</v>
      </c>
      <c r="G4" t="n">
        <v>24</v>
      </c>
      <c r="H4" t="n">
        <v>360.06</v>
      </c>
      <c r="I4" t="n">
        <v>25</v>
      </c>
      <c r="J4" t="n">
        <v>101</v>
      </c>
    </row>
    <row r="5">
      <c r="A5" s="19" t="n">
        <v>42736</v>
      </c>
      <c r="B5" t="inlineStr">
        <is>
          <t>CE</t>
        </is>
      </c>
      <c r="C5" t="n">
        <v>9</v>
      </c>
      <c r="D5" t="n">
        <v>8</v>
      </c>
      <c r="E5" t="n">
        <v>1085.13</v>
      </c>
      <c r="F5" t="n">
        <v>1</v>
      </c>
      <c r="G5" t="n">
        <v>8</v>
      </c>
      <c r="H5" t="n">
        <v>204.52</v>
      </c>
      <c r="I5" t="n">
        <v>9</v>
      </c>
      <c r="J5" t="n">
        <v>34</v>
      </c>
    </row>
    <row r="6">
      <c r="A6" s="19" t="n">
        <v>42736</v>
      </c>
      <c r="B6" t="inlineStr">
        <is>
          <t>DF</t>
        </is>
      </c>
      <c r="C6" t="n">
        <v>13</v>
      </c>
      <c r="D6" t="n">
        <v>13</v>
      </c>
      <c r="E6" t="n">
        <v>2104.75</v>
      </c>
      <c r="F6" t="n">
        <v>2</v>
      </c>
      <c r="G6" t="n">
        <v>13</v>
      </c>
      <c r="H6" t="n">
        <v>279.27</v>
      </c>
      <c r="I6" t="n">
        <v>13</v>
      </c>
      <c r="J6" t="n">
        <v>45</v>
      </c>
    </row>
    <row r="7">
      <c r="A7" s="19" t="n">
        <v>42736</v>
      </c>
      <c r="B7" t="inlineStr">
        <is>
          <t>ES</t>
        </is>
      </c>
      <c r="C7" t="n">
        <v>12</v>
      </c>
      <c r="D7" t="n">
        <v>9</v>
      </c>
      <c r="E7" t="n">
        <v>1010.78</v>
      </c>
      <c r="F7" t="n">
        <v>1</v>
      </c>
      <c r="G7" t="n">
        <v>9</v>
      </c>
      <c r="H7" t="n">
        <v>148.69</v>
      </c>
      <c r="I7" t="n">
        <v>12</v>
      </c>
      <c r="J7" t="n">
        <v>39</v>
      </c>
    </row>
    <row r="8">
      <c r="A8" s="19" t="n">
        <v>42736</v>
      </c>
      <c r="B8" t="inlineStr">
        <is>
          <t>GO</t>
        </is>
      </c>
      <c r="C8" t="n">
        <v>18</v>
      </c>
      <c r="D8" t="n">
        <v>18</v>
      </c>
      <c r="E8" t="n">
        <v>4658.29</v>
      </c>
      <c r="F8" t="n">
        <v>0</v>
      </c>
      <c r="G8" t="n">
        <v>18</v>
      </c>
      <c r="H8" t="n">
        <v>230.78</v>
      </c>
      <c r="I8" t="n">
        <v>18</v>
      </c>
      <c r="J8" t="n">
        <v>79</v>
      </c>
    </row>
    <row r="9">
      <c r="A9" s="19" t="n">
        <v>42736</v>
      </c>
      <c r="B9" t="inlineStr">
        <is>
          <t>MA</t>
        </is>
      </c>
      <c r="C9" t="n">
        <v>9</v>
      </c>
      <c r="D9" t="n">
        <v>6</v>
      </c>
      <c r="E9" t="n">
        <v>716.47</v>
      </c>
      <c r="F9" t="n">
        <v>1</v>
      </c>
      <c r="G9" t="n">
        <v>6</v>
      </c>
      <c r="H9" t="n">
        <v>148.79</v>
      </c>
      <c r="I9" t="n">
        <v>9</v>
      </c>
      <c r="J9" t="n">
        <v>35</v>
      </c>
    </row>
    <row r="10">
      <c r="A10" s="19" t="n">
        <v>42736</v>
      </c>
      <c r="B10" t="inlineStr">
        <is>
          <t>MG</t>
        </is>
      </c>
      <c r="C10" t="n">
        <v>108</v>
      </c>
      <c r="D10" t="n">
        <v>102</v>
      </c>
      <c r="E10" t="n">
        <v>18045.23</v>
      </c>
      <c r="F10" t="n">
        <v>0</v>
      </c>
      <c r="G10" t="n">
        <v>102</v>
      </c>
      <c r="H10" t="n">
        <v>1115.38</v>
      </c>
      <c r="I10" t="n">
        <v>107</v>
      </c>
      <c r="J10" t="n">
        <v>453</v>
      </c>
    </row>
    <row r="11">
      <c r="A11" s="19" t="n">
        <v>42736</v>
      </c>
      <c r="B11" t="inlineStr">
        <is>
          <t>MS</t>
        </is>
      </c>
      <c r="C11" t="n">
        <v>1</v>
      </c>
      <c r="D11" t="n">
        <v>1</v>
      </c>
      <c r="E11" t="n">
        <v>170.36</v>
      </c>
      <c r="F11" t="n">
        <v>0</v>
      </c>
      <c r="G11" t="n">
        <v>1</v>
      </c>
      <c r="H11" t="n">
        <v>11.65</v>
      </c>
      <c r="I11" t="n">
        <v>1</v>
      </c>
      <c r="J11" t="n">
        <v>5</v>
      </c>
    </row>
    <row r="12">
      <c r="A12" s="19" t="n">
        <v>42736</v>
      </c>
      <c r="B12" t="inlineStr">
        <is>
          <t>MT</t>
        </is>
      </c>
      <c r="C12" t="n">
        <v>11</v>
      </c>
      <c r="D12" t="n">
        <v>9</v>
      </c>
      <c r="E12" t="n">
        <v>1922.79</v>
      </c>
      <c r="F12" t="n">
        <v>0</v>
      </c>
      <c r="G12" t="n">
        <v>9</v>
      </c>
      <c r="H12" t="n">
        <v>142.27</v>
      </c>
      <c r="I12" t="n">
        <v>11</v>
      </c>
      <c r="J12" t="n">
        <v>35</v>
      </c>
    </row>
    <row r="13">
      <c r="A13" s="19" t="n">
        <v>42736</v>
      </c>
      <c r="B13" t="inlineStr">
        <is>
          <t>PA</t>
        </is>
      </c>
      <c r="C13" t="n">
        <v>12</v>
      </c>
      <c r="D13" t="n">
        <v>10</v>
      </c>
      <c r="E13" t="n">
        <v>1522.92</v>
      </c>
      <c r="F13" t="n">
        <v>0</v>
      </c>
      <c r="G13" t="n">
        <v>10</v>
      </c>
      <c r="H13" t="n">
        <v>150.87</v>
      </c>
      <c r="I13" t="n">
        <v>12</v>
      </c>
      <c r="J13" t="n">
        <v>51</v>
      </c>
    </row>
    <row r="14">
      <c r="A14" s="19" t="n">
        <v>42736</v>
      </c>
      <c r="B14" t="inlineStr">
        <is>
          <t>PB</t>
        </is>
      </c>
      <c r="C14" t="n">
        <v>2</v>
      </c>
      <c r="D14" t="n">
        <v>2</v>
      </c>
      <c r="E14" t="n">
        <v>463.13</v>
      </c>
      <c r="F14" t="n">
        <v>0</v>
      </c>
      <c r="G14" t="n">
        <v>2</v>
      </c>
      <c r="H14" t="n">
        <v>22.43</v>
      </c>
      <c r="I14" t="n">
        <v>2</v>
      </c>
      <c r="J14" t="n">
        <v>9</v>
      </c>
    </row>
    <row r="15">
      <c r="A15" s="19" t="n">
        <v>42736</v>
      </c>
      <c r="B15" t="inlineStr">
        <is>
          <t>PE</t>
        </is>
      </c>
      <c r="C15" t="n">
        <v>9</v>
      </c>
      <c r="D15" t="n">
        <v>9</v>
      </c>
      <c r="E15" t="n">
        <v>2151.93</v>
      </c>
      <c r="F15" t="n">
        <v>1</v>
      </c>
      <c r="G15" t="n">
        <v>9</v>
      </c>
      <c r="H15" t="n">
        <v>187.34</v>
      </c>
      <c r="I15" t="n">
        <v>8</v>
      </c>
      <c r="J15" t="n">
        <v>34</v>
      </c>
    </row>
    <row r="16">
      <c r="A16" s="19" t="n">
        <v>42736</v>
      </c>
      <c r="B16" t="inlineStr">
        <is>
          <t>PI</t>
        </is>
      </c>
      <c r="C16" t="n">
        <v>7</v>
      </c>
      <c r="D16" t="n">
        <v>7</v>
      </c>
      <c r="E16" t="n">
        <v>1453.98</v>
      </c>
      <c r="F16" t="n">
        <v>0</v>
      </c>
      <c r="G16" t="n">
        <v>7</v>
      </c>
      <c r="H16" t="n">
        <v>105.54</v>
      </c>
      <c r="I16" t="n">
        <v>7</v>
      </c>
      <c r="J16" t="n">
        <v>33</v>
      </c>
    </row>
    <row r="17">
      <c r="A17" s="19" t="n">
        <v>42736</v>
      </c>
      <c r="B17" t="inlineStr">
        <is>
          <t>PR</t>
        </is>
      </c>
      <c r="C17" t="n">
        <v>65</v>
      </c>
      <c r="D17" t="n">
        <v>62</v>
      </c>
      <c r="E17" t="n">
        <v>5985</v>
      </c>
      <c r="F17" t="n">
        <v>2</v>
      </c>
      <c r="G17" t="n">
        <v>62</v>
      </c>
      <c r="H17" t="n">
        <v>737.36</v>
      </c>
      <c r="I17" t="n">
        <v>65</v>
      </c>
      <c r="J17" t="n">
        <v>279</v>
      </c>
    </row>
    <row r="18">
      <c r="A18" s="19" t="n">
        <v>42736</v>
      </c>
      <c r="B18" t="inlineStr">
        <is>
          <t>RJ</t>
        </is>
      </c>
      <c r="C18" t="n">
        <v>97</v>
      </c>
      <c r="D18" t="n">
        <v>91</v>
      </c>
      <c r="E18" t="n">
        <v>14002.73</v>
      </c>
      <c r="F18" t="n">
        <v>3</v>
      </c>
      <c r="G18" t="n">
        <v>91</v>
      </c>
      <c r="H18" t="n">
        <v>1263.41</v>
      </c>
      <c r="I18" t="n">
        <v>94</v>
      </c>
      <c r="J18" t="n">
        <v>360</v>
      </c>
    </row>
    <row r="19">
      <c r="A19" s="19" t="n">
        <v>42736</v>
      </c>
      <c r="B19" t="inlineStr">
        <is>
          <t>RN</t>
        </is>
      </c>
      <c r="C19" t="n">
        <v>5</v>
      </c>
      <c r="D19" t="n">
        <v>5</v>
      </c>
      <c r="E19" t="n">
        <v>1268.13</v>
      </c>
      <c r="F19" t="n">
        <v>0</v>
      </c>
      <c r="G19" t="n">
        <v>5</v>
      </c>
      <c r="H19" t="n">
        <v>51.46</v>
      </c>
      <c r="I19" t="n">
        <v>5</v>
      </c>
      <c r="J19" t="n">
        <v>24</v>
      </c>
    </row>
    <row r="20">
      <c r="A20" s="19" t="n">
        <v>42736</v>
      </c>
      <c r="B20" t="inlineStr">
        <is>
          <t>RO</t>
        </is>
      </c>
      <c r="C20" t="n">
        <v>3</v>
      </c>
      <c r="D20" t="n">
        <v>3</v>
      </c>
      <c r="E20" t="n">
        <v>825.51</v>
      </c>
      <c r="F20" t="n">
        <v>0</v>
      </c>
      <c r="G20" t="n">
        <v>3</v>
      </c>
      <c r="H20" t="n">
        <v>85.55</v>
      </c>
      <c r="I20" t="n">
        <v>3</v>
      </c>
      <c r="J20" t="n">
        <v>9</v>
      </c>
    </row>
    <row r="21">
      <c r="A21" s="19" t="n">
        <v>42736</v>
      </c>
      <c r="B21" t="inlineStr">
        <is>
          <t>RS</t>
        </is>
      </c>
      <c r="C21" t="n">
        <v>54</v>
      </c>
      <c r="D21" t="n">
        <v>52</v>
      </c>
      <c r="E21" t="n">
        <v>13139.94</v>
      </c>
      <c r="F21" t="n">
        <v>1</v>
      </c>
      <c r="G21" t="n">
        <v>52</v>
      </c>
      <c r="H21" t="n">
        <v>675.54</v>
      </c>
      <c r="I21" t="n">
        <v>53</v>
      </c>
      <c r="J21" t="n">
        <v>223</v>
      </c>
    </row>
    <row r="22">
      <c r="A22" s="19" t="n">
        <v>42736</v>
      </c>
      <c r="B22" t="inlineStr">
        <is>
          <t>SC</t>
        </is>
      </c>
      <c r="C22" t="n">
        <v>31</v>
      </c>
      <c r="D22" t="n">
        <v>26</v>
      </c>
      <c r="E22" t="n">
        <v>5555.61</v>
      </c>
      <c r="F22" t="n">
        <v>1</v>
      </c>
      <c r="G22" t="n">
        <v>26</v>
      </c>
      <c r="H22" t="n">
        <v>436.26</v>
      </c>
      <c r="I22" t="n">
        <v>31</v>
      </c>
      <c r="J22" t="n">
        <v>116</v>
      </c>
    </row>
    <row r="23">
      <c r="A23" s="19" t="n">
        <v>42736</v>
      </c>
      <c r="B23" t="inlineStr">
        <is>
          <t>SE</t>
        </is>
      </c>
      <c r="C23" t="n">
        <v>4</v>
      </c>
      <c r="D23" t="n">
        <v>4</v>
      </c>
      <c r="E23" t="n">
        <v>381.78</v>
      </c>
      <c r="F23" t="n">
        <v>0</v>
      </c>
      <c r="G23" t="n">
        <v>4</v>
      </c>
      <c r="H23" t="n">
        <v>52.99</v>
      </c>
      <c r="I23" t="n">
        <v>4</v>
      </c>
      <c r="J23" t="n">
        <v>19</v>
      </c>
    </row>
    <row r="24">
      <c r="A24" s="19" t="n">
        <v>42736</v>
      </c>
      <c r="B24" t="inlineStr">
        <is>
          <t>SP</t>
        </is>
      </c>
      <c r="C24" t="n">
        <v>299</v>
      </c>
      <c r="D24" t="n">
        <v>283</v>
      </c>
      <c r="E24" t="n">
        <v>44838.18</v>
      </c>
      <c r="F24" t="n">
        <v>8</v>
      </c>
      <c r="G24" t="n">
        <v>283</v>
      </c>
      <c r="H24" t="n">
        <v>2975.91</v>
      </c>
      <c r="I24" t="n">
        <v>295</v>
      </c>
      <c r="J24" t="n">
        <v>1207</v>
      </c>
    </row>
    <row r="25">
      <c r="A25" s="19" t="n">
        <v>42736</v>
      </c>
      <c r="B25" t="inlineStr">
        <is>
          <t>TO</t>
        </is>
      </c>
      <c r="C25" t="n">
        <v>2</v>
      </c>
      <c r="D25" t="n">
        <v>2</v>
      </c>
      <c r="E25" t="n">
        <v>676.86</v>
      </c>
      <c r="F25" t="n">
        <v>0</v>
      </c>
      <c r="G25" t="n">
        <v>2</v>
      </c>
      <c r="H25" t="n">
        <v>26.64</v>
      </c>
      <c r="I25" t="n">
        <v>2</v>
      </c>
      <c r="J25" t="n">
        <v>9</v>
      </c>
    </row>
    <row r="26">
      <c r="A26" s="19" t="n">
        <v>42767</v>
      </c>
      <c r="B26" t="inlineStr">
        <is>
          <t>AC</t>
        </is>
      </c>
      <c r="C26" t="n">
        <v>3</v>
      </c>
      <c r="D26" t="n">
        <v>3</v>
      </c>
      <c r="E26" t="n">
        <v>597.4</v>
      </c>
      <c r="F26" t="n">
        <v>0</v>
      </c>
      <c r="G26" t="n">
        <v>3</v>
      </c>
      <c r="H26" t="n">
        <v>77.27</v>
      </c>
      <c r="I26" t="n">
        <v>3</v>
      </c>
      <c r="J26" t="n">
        <v>15</v>
      </c>
    </row>
    <row r="27">
      <c r="A27" s="19" t="n">
        <v>42767</v>
      </c>
      <c r="B27" t="inlineStr">
        <is>
          <t>AL</t>
        </is>
      </c>
      <c r="C27" t="n">
        <v>12</v>
      </c>
      <c r="D27" t="n">
        <v>12</v>
      </c>
      <c r="E27" t="n">
        <v>2967.87</v>
      </c>
      <c r="F27" t="n">
        <v>1</v>
      </c>
      <c r="G27" t="n">
        <v>12</v>
      </c>
      <c r="H27" t="n">
        <v>344.72</v>
      </c>
      <c r="I27" t="n">
        <v>12</v>
      </c>
      <c r="J27" t="n">
        <v>52</v>
      </c>
    </row>
    <row r="28">
      <c r="A28" s="19" t="n">
        <v>42767</v>
      </c>
      <c r="B28" t="inlineStr">
        <is>
          <t>AM</t>
        </is>
      </c>
      <c r="C28" t="n">
        <v>8</v>
      </c>
      <c r="D28" t="n">
        <v>8</v>
      </c>
      <c r="E28" t="n">
        <v>1122.54</v>
      </c>
      <c r="F28" t="n">
        <v>0</v>
      </c>
      <c r="G28" t="n">
        <v>8</v>
      </c>
      <c r="H28" t="n">
        <v>134.74</v>
      </c>
      <c r="I28" t="n">
        <v>8</v>
      </c>
      <c r="J28" t="n">
        <v>39</v>
      </c>
    </row>
    <row r="29">
      <c r="A29" s="19" t="n">
        <v>42767</v>
      </c>
      <c r="B29" t="inlineStr">
        <is>
          <t>AP</t>
        </is>
      </c>
      <c r="C29" t="n">
        <v>2</v>
      </c>
      <c r="D29" t="n">
        <v>2</v>
      </c>
      <c r="E29" t="n">
        <v>707.2</v>
      </c>
      <c r="F29" t="n">
        <v>0</v>
      </c>
      <c r="G29" t="n">
        <v>2</v>
      </c>
      <c r="H29" t="n">
        <v>34.37</v>
      </c>
      <c r="I29" t="n">
        <v>2</v>
      </c>
      <c r="J29" t="n">
        <v>9</v>
      </c>
    </row>
    <row r="30">
      <c r="A30" s="19" t="n">
        <v>42767</v>
      </c>
      <c r="B30" t="inlineStr">
        <is>
          <t>BA</t>
        </is>
      </c>
      <c r="C30" t="n">
        <v>59</v>
      </c>
      <c r="D30" t="n">
        <v>58</v>
      </c>
      <c r="E30" t="n">
        <v>8517.469999999999</v>
      </c>
      <c r="F30" t="n">
        <v>5</v>
      </c>
      <c r="G30" t="n">
        <v>58</v>
      </c>
      <c r="H30" t="n">
        <v>1251.24</v>
      </c>
      <c r="I30" t="n">
        <v>59</v>
      </c>
      <c r="J30" t="n">
        <v>229</v>
      </c>
    </row>
    <row r="31">
      <c r="A31" s="19" t="n">
        <v>42767</v>
      </c>
      <c r="B31" t="inlineStr">
        <is>
          <t>CE</t>
        </is>
      </c>
      <c r="C31" t="n">
        <v>13</v>
      </c>
      <c r="D31" t="n">
        <v>13</v>
      </c>
      <c r="E31" t="n">
        <v>2483.53</v>
      </c>
      <c r="F31" t="n">
        <v>1</v>
      </c>
      <c r="G31" t="n">
        <v>13</v>
      </c>
      <c r="H31" t="n">
        <v>278.29</v>
      </c>
      <c r="I31" t="n">
        <v>13</v>
      </c>
      <c r="J31" t="n">
        <v>57</v>
      </c>
    </row>
    <row r="32">
      <c r="A32" s="19" t="n">
        <v>42767</v>
      </c>
      <c r="B32" t="inlineStr">
        <is>
          <t>DF</t>
        </is>
      </c>
      <c r="C32" t="n">
        <v>24</v>
      </c>
      <c r="D32" t="n">
        <v>21</v>
      </c>
      <c r="E32" t="n">
        <v>10366.6</v>
      </c>
      <c r="F32" t="n">
        <v>0</v>
      </c>
      <c r="G32" t="n">
        <v>21</v>
      </c>
      <c r="H32" t="n">
        <v>243.8</v>
      </c>
      <c r="I32" t="n">
        <v>23</v>
      </c>
      <c r="J32" t="n">
        <v>95</v>
      </c>
    </row>
    <row r="33">
      <c r="A33" s="19" t="n">
        <v>42767</v>
      </c>
      <c r="B33" t="inlineStr">
        <is>
          <t>ES</t>
        </is>
      </c>
      <c r="C33" t="n">
        <v>34</v>
      </c>
      <c r="D33" t="n">
        <v>31</v>
      </c>
      <c r="E33" t="n">
        <v>4590.71</v>
      </c>
      <c r="F33" t="n">
        <v>2</v>
      </c>
      <c r="G33" t="n">
        <v>31</v>
      </c>
      <c r="H33" t="n">
        <v>640.39</v>
      </c>
      <c r="I33" t="n">
        <v>32</v>
      </c>
      <c r="J33" t="n">
        <v>125</v>
      </c>
    </row>
    <row r="34">
      <c r="A34" s="19" t="n">
        <v>42767</v>
      </c>
      <c r="B34" t="inlineStr">
        <is>
          <t>GO</t>
        </is>
      </c>
      <c r="C34" t="n">
        <v>27</v>
      </c>
      <c r="D34" t="n">
        <v>24</v>
      </c>
      <c r="E34" t="n">
        <v>2855.54</v>
      </c>
      <c r="F34" t="n">
        <v>1</v>
      </c>
      <c r="G34" t="n">
        <v>24</v>
      </c>
      <c r="H34" t="n">
        <v>534.9299999999999</v>
      </c>
      <c r="I34" t="n">
        <v>27</v>
      </c>
      <c r="J34" t="n">
        <v>104</v>
      </c>
    </row>
    <row r="35">
      <c r="A35" s="19" t="n">
        <v>42767</v>
      </c>
      <c r="B35" t="inlineStr">
        <is>
          <t>MA</t>
        </is>
      </c>
      <c r="C35" t="n">
        <v>11</v>
      </c>
      <c r="D35" t="n">
        <v>11</v>
      </c>
      <c r="E35" t="n">
        <v>1195.23</v>
      </c>
      <c r="F35" t="n">
        <v>0</v>
      </c>
      <c r="G35" t="n">
        <v>11</v>
      </c>
      <c r="H35" t="n">
        <v>171.09</v>
      </c>
      <c r="I35" t="n">
        <v>11</v>
      </c>
      <c r="J35" t="n">
        <v>51</v>
      </c>
    </row>
    <row r="36">
      <c r="A36" s="19" t="n">
        <v>42767</v>
      </c>
      <c r="B36" t="inlineStr">
        <is>
          <t>MG</t>
        </is>
      </c>
      <c r="C36" t="n">
        <v>259</v>
      </c>
      <c r="D36" t="n">
        <v>241</v>
      </c>
      <c r="E36" t="n">
        <v>33918.2</v>
      </c>
      <c r="F36" t="n">
        <v>2</v>
      </c>
      <c r="G36" t="n">
        <v>241</v>
      </c>
      <c r="H36" t="n">
        <v>2955.11</v>
      </c>
      <c r="I36" t="n">
        <v>259</v>
      </c>
      <c r="J36" t="n">
        <v>1024</v>
      </c>
    </row>
    <row r="37">
      <c r="A37" s="19" t="n">
        <v>42767</v>
      </c>
      <c r="B37" t="inlineStr">
        <is>
          <t>MS</t>
        </is>
      </c>
      <c r="C37" t="n">
        <v>11</v>
      </c>
      <c r="D37" t="n">
        <v>11</v>
      </c>
      <c r="E37" t="n">
        <v>7910.94</v>
      </c>
      <c r="F37" t="n">
        <v>0</v>
      </c>
      <c r="G37" t="n">
        <v>11</v>
      </c>
      <c r="H37" t="n">
        <v>218.77</v>
      </c>
      <c r="I37" t="n">
        <v>11</v>
      </c>
      <c r="J37" t="n">
        <v>50</v>
      </c>
    </row>
    <row r="38">
      <c r="A38" s="19" t="n">
        <v>42767</v>
      </c>
      <c r="B38" t="inlineStr">
        <is>
          <t>MT</t>
        </is>
      </c>
      <c r="C38" t="n">
        <v>17</v>
      </c>
      <c r="D38" t="n">
        <v>17</v>
      </c>
      <c r="E38" t="n">
        <v>3583.36</v>
      </c>
      <c r="F38" t="n">
        <v>0</v>
      </c>
      <c r="G38" t="n">
        <v>17</v>
      </c>
      <c r="H38" t="n">
        <v>311.83</v>
      </c>
      <c r="I38" t="n">
        <v>17</v>
      </c>
      <c r="J38" t="n">
        <v>65</v>
      </c>
    </row>
    <row r="39">
      <c r="A39" s="19" t="n">
        <v>42767</v>
      </c>
      <c r="B39" t="inlineStr">
        <is>
          <t>PA</t>
        </is>
      </c>
      <c r="C39" t="n">
        <v>25</v>
      </c>
      <c r="D39" t="n">
        <v>24</v>
      </c>
      <c r="E39" t="n">
        <v>10604.7</v>
      </c>
      <c r="F39" t="n">
        <v>0</v>
      </c>
      <c r="G39" t="n">
        <v>24</v>
      </c>
      <c r="H39" t="n">
        <v>461.5</v>
      </c>
      <c r="I39" t="n">
        <v>25</v>
      </c>
      <c r="J39" t="n">
        <v>108</v>
      </c>
    </row>
    <row r="40">
      <c r="A40" s="19" t="n">
        <v>42767</v>
      </c>
      <c r="B40" t="inlineStr">
        <is>
          <t>PB</t>
        </is>
      </c>
      <c r="C40" t="n">
        <v>12</v>
      </c>
      <c r="D40" t="n">
        <v>11</v>
      </c>
      <c r="E40" t="n">
        <v>2248.31</v>
      </c>
      <c r="F40" t="n">
        <v>1</v>
      </c>
      <c r="G40" t="n">
        <v>11</v>
      </c>
      <c r="H40" t="n">
        <v>226.4</v>
      </c>
      <c r="I40" t="n">
        <v>11</v>
      </c>
      <c r="J40" t="n">
        <v>45</v>
      </c>
    </row>
    <row r="41">
      <c r="A41" s="19" t="n">
        <v>42767</v>
      </c>
      <c r="B41" t="inlineStr">
        <is>
          <t>PE</t>
        </is>
      </c>
      <c r="C41" t="n">
        <v>21</v>
      </c>
      <c r="D41" t="n">
        <v>20</v>
      </c>
      <c r="E41" t="n">
        <v>3320.02</v>
      </c>
      <c r="F41" t="n">
        <v>1</v>
      </c>
      <c r="G41" t="n">
        <v>20</v>
      </c>
      <c r="H41" t="n">
        <v>371.98</v>
      </c>
      <c r="I41" t="n">
        <v>21</v>
      </c>
      <c r="J41" t="n">
        <v>86</v>
      </c>
    </row>
    <row r="42">
      <c r="A42" s="19" t="n">
        <v>42767</v>
      </c>
      <c r="B42" t="inlineStr">
        <is>
          <t>PI</t>
        </is>
      </c>
      <c r="C42" t="n">
        <v>12</v>
      </c>
      <c r="D42" t="n">
        <v>10</v>
      </c>
      <c r="E42" t="n">
        <v>3505.07</v>
      </c>
      <c r="F42" t="n">
        <v>0</v>
      </c>
      <c r="G42" t="n">
        <v>10</v>
      </c>
      <c r="H42" t="n">
        <v>187.76</v>
      </c>
      <c r="I42" t="n">
        <v>12</v>
      </c>
      <c r="J42" t="n">
        <v>44</v>
      </c>
    </row>
    <row r="43">
      <c r="A43" s="19" t="n">
        <v>42767</v>
      </c>
      <c r="B43" t="inlineStr">
        <is>
          <t>PR</t>
        </is>
      </c>
      <c r="C43" t="n">
        <v>118</v>
      </c>
      <c r="D43" t="n">
        <v>110</v>
      </c>
      <c r="E43" t="n">
        <v>20612.7</v>
      </c>
      <c r="F43" t="n">
        <v>3</v>
      </c>
      <c r="G43" t="n">
        <v>110</v>
      </c>
      <c r="H43" t="n">
        <v>1525.26</v>
      </c>
      <c r="I43" t="n">
        <v>117</v>
      </c>
      <c r="J43" t="n">
        <v>454</v>
      </c>
    </row>
    <row r="44">
      <c r="A44" s="19" t="n">
        <v>42767</v>
      </c>
      <c r="B44" t="inlineStr">
        <is>
          <t>RJ</t>
        </is>
      </c>
      <c r="C44" t="n">
        <v>254</v>
      </c>
      <c r="D44" t="n">
        <v>230</v>
      </c>
      <c r="E44" t="n">
        <v>35258.76</v>
      </c>
      <c r="F44" t="n">
        <v>8</v>
      </c>
      <c r="G44" t="n">
        <v>230</v>
      </c>
      <c r="H44" t="n">
        <v>2858</v>
      </c>
      <c r="I44" t="n">
        <v>251</v>
      </c>
      <c r="J44" t="n">
        <v>992</v>
      </c>
    </row>
    <row r="45">
      <c r="A45" s="19" t="n">
        <v>42767</v>
      </c>
      <c r="B45" t="inlineStr">
        <is>
          <t>RN</t>
        </is>
      </c>
      <c r="C45" t="n">
        <v>8</v>
      </c>
      <c r="D45" t="n">
        <v>8</v>
      </c>
      <c r="E45" t="n">
        <v>648.61</v>
      </c>
      <c r="F45" t="n">
        <v>0</v>
      </c>
      <c r="G45" t="n">
        <v>8</v>
      </c>
      <c r="H45" t="n">
        <v>142.43</v>
      </c>
      <c r="I45" t="n">
        <v>8</v>
      </c>
      <c r="J45" t="n">
        <v>35</v>
      </c>
    </row>
    <row r="46">
      <c r="A46" s="19" t="n">
        <v>42767</v>
      </c>
      <c r="B46" t="inlineStr">
        <is>
          <t>RO</t>
        </is>
      </c>
      <c r="C46" t="n">
        <v>11</v>
      </c>
      <c r="D46" t="n">
        <v>9</v>
      </c>
      <c r="E46" t="n">
        <v>1837.87</v>
      </c>
      <c r="F46" t="n">
        <v>0</v>
      </c>
      <c r="G46" t="n">
        <v>9</v>
      </c>
      <c r="H46" t="n">
        <v>159.44</v>
      </c>
      <c r="I46" t="n">
        <v>11</v>
      </c>
      <c r="J46" t="n">
        <v>41</v>
      </c>
    </row>
    <row r="47">
      <c r="A47" s="19" t="n">
        <v>42767</v>
      </c>
      <c r="B47" t="inlineStr">
        <is>
          <t>RR</t>
        </is>
      </c>
      <c r="C47" t="n">
        <v>2</v>
      </c>
      <c r="D47" t="n">
        <v>2</v>
      </c>
      <c r="E47" t="n">
        <v>108.74</v>
      </c>
      <c r="F47" t="n">
        <v>0</v>
      </c>
      <c r="G47" t="n">
        <v>2</v>
      </c>
      <c r="H47" t="n">
        <v>18.6</v>
      </c>
      <c r="I47" t="n">
        <v>2</v>
      </c>
      <c r="J47" t="n">
        <v>8</v>
      </c>
    </row>
    <row r="48">
      <c r="A48" s="19" t="n">
        <v>42767</v>
      </c>
      <c r="B48" t="inlineStr">
        <is>
          <t>RS</t>
        </is>
      </c>
      <c r="C48" t="n">
        <v>105</v>
      </c>
      <c r="D48" t="n">
        <v>100</v>
      </c>
      <c r="E48" t="n">
        <v>17391.45</v>
      </c>
      <c r="F48" t="n">
        <v>3</v>
      </c>
      <c r="G48" t="n">
        <v>100</v>
      </c>
      <c r="H48" t="n">
        <v>1470.38</v>
      </c>
      <c r="I48" t="n">
        <v>105</v>
      </c>
      <c r="J48" t="n">
        <v>439</v>
      </c>
    </row>
    <row r="49">
      <c r="A49" s="19" t="n">
        <v>42767</v>
      </c>
      <c r="B49" t="inlineStr">
        <is>
          <t>SC</t>
        </is>
      </c>
      <c r="C49" t="n">
        <v>59</v>
      </c>
      <c r="D49" t="n">
        <v>57</v>
      </c>
      <c r="E49" t="n">
        <v>7105.68</v>
      </c>
      <c r="F49" t="n">
        <v>3</v>
      </c>
      <c r="G49" t="n">
        <v>57</v>
      </c>
      <c r="H49" t="n">
        <v>898.48</v>
      </c>
      <c r="I49" t="n">
        <v>57</v>
      </c>
      <c r="J49" t="n">
        <v>220</v>
      </c>
    </row>
    <row r="50">
      <c r="A50" s="19" t="n">
        <v>42767</v>
      </c>
      <c r="B50" t="inlineStr">
        <is>
          <t>SE</t>
        </is>
      </c>
      <c r="C50" t="n">
        <v>12</v>
      </c>
      <c r="D50" t="n">
        <v>12</v>
      </c>
      <c r="E50" t="n">
        <v>2404.98</v>
      </c>
      <c r="F50" t="n">
        <v>0</v>
      </c>
      <c r="G50" t="n">
        <v>12</v>
      </c>
      <c r="H50" t="n">
        <v>224.6</v>
      </c>
      <c r="I50" t="n">
        <v>12</v>
      </c>
      <c r="J50" t="n">
        <v>49</v>
      </c>
    </row>
    <row r="51">
      <c r="A51" s="19" t="n">
        <v>42767</v>
      </c>
      <c r="B51" t="inlineStr">
        <is>
          <t>SP</t>
        </is>
      </c>
      <c r="C51" t="n">
        <v>654</v>
      </c>
      <c r="D51" t="n">
        <v>601</v>
      </c>
      <c r="E51" t="n">
        <v>84436.28999999999</v>
      </c>
      <c r="F51" t="n">
        <v>18</v>
      </c>
      <c r="G51" t="n">
        <v>601</v>
      </c>
      <c r="H51" t="n">
        <v>5914.01</v>
      </c>
      <c r="I51" t="n">
        <v>652</v>
      </c>
      <c r="J51" t="n">
        <v>2635</v>
      </c>
    </row>
    <row r="52">
      <c r="A52" s="19" t="n">
        <v>42767</v>
      </c>
      <c r="B52" t="inlineStr">
        <is>
          <t>TO</t>
        </is>
      </c>
      <c r="C52" t="n">
        <v>7</v>
      </c>
      <c r="D52" t="n">
        <v>7</v>
      </c>
      <c r="E52" t="n">
        <v>939.55</v>
      </c>
      <c r="F52" t="n">
        <v>0</v>
      </c>
      <c r="G52" t="n">
        <v>7</v>
      </c>
      <c r="H52" t="n">
        <v>112.6</v>
      </c>
      <c r="I52" t="n">
        <v>7</v>
      </c>
      <c r="J52" t="n">
        <v>30</v>
      </c>
    </row>
    <row r="53">
      <c r="A53" s="19" t="n">
        <v>42795</v>
      </c>
      <c r="B53" t="inlineStr">
        <is>
          <t>AC</t>
        </is>
      </c>
      <c r="C53" t="n">
        <v>2</v>
      </c>
      <c r="D53" t="n">
        <v>2</v>
      </c>
      <c r="E53" t="n">
        <v>530.1799999999999</v>
      </c>
      <c r="F53" t="n">
        <v>0</v>
      </c>
      <c r="G53" t="n">
        <v>2</v>
      </c>
      <c r="H53" t="n">
        <v>40.33</v>
      </c>
      <c r="I53" t="n">
        <v>2</v>
      </c>
      <c r="J53" t="n">
        <v>9</v>
      </c>
    </row>
    <row r="54">
      <c r="A54" s="19" t="n">
        <v>42795</v>
      </c>
      <c r="B54" t="inlineStr">
        <is>
          <t>AL</t>
        </is>
      </c>
      <c r="C54" t="n">
        <v>10</v>
      </c>
      <c r="D54" t="n">
        <v>10</v>
      </c>
      <c r="E54" t="n">
        <v>1421.5</v>
      </c>
      <c r="F54" t="n">
        <v>2</v>
      </c>
      <c r="G54" t="n">
        <v>10</v>
      </c>
      <c r="H54" t="n">
        <v>235.05</v>
      </c>
      <c r="I54" t="n">
        <v>10</v>
      </c>
      <c r="J54" t="n">
        <v>41</v>
      </c>
    </row>
    <row r="55">
      <c r="A55" s="19" t="n">
        <v>42795</v>
      </c>
      <c r="B55" t="inlineStr">
        <is>
          <t>AM</t>
        </is>
      </c>
      <c r="C55" t="n">
        <v>5</v>
      </c>
      <c r="D55" t="n">
        <v>5</v>
      </c>
      <c r="E55" t="n">
        <v>793.39</v>
      </c>
      <c r="F55" t="n">
        <v>0</v>
      </c>
      <c r="G55" t="n">
        <v>5</v>
      </c>
      <c r="H55" t="n">
        <v>147.48</v>
      </c>
      <c r="I55" t="n">
        <v>5</v>
      </c>
      <c r="J55" t="n">
        <v>25</v>
      </c>
    </row>
    <row r="56">
      <c r="A56" s="19" t="n">
        <v>42795</v>
      </c>
      <c r="B56" t="inlineStr">
        <is>
          <t>AP</t>
        </is>
      </c>
      <c r="C56" t="n">
        <v>3</v>
      </c>
      <c r="D56" t="n">
        <v>3</v>
      </c>
      <c r="E56" t="n">
        <v>412.89</v>
      </c>
      <c r="F56" t="n">
        <v>2</v>
      </c>
      <c r="G56" t="n">
        <v>3</v>
      </c>
      <c r="H56" t="n">
        <v>236.54</v>
      </c>
      <c r="I56" t="n">
        <v>3</v>
      </c>
      <c r="J56" t="n">
        <v>14</v>
      </c>
    </row>
    <row r="57">
      <c r="A57" s="19" t="n">
        <v>42795</v>
      </c>
      <c r="B57" t="inlineStr">
        <is>
          <t>BA</t>
        </is>
      </c>
      <c r="C57" t="n">
        <v>91</v>
      </c>
      <c r="D57" t="n">
        <v>87</v>
      </c>
      <c r="E57" t="n">
        <v>18314.25</v>
      </c>
      <c r="F57" t="n">
        <v>7</v>
      </c>
      <c r="G57" t="n">
        <v>87</v>
      </c>
      <c r="H57" t="n">
        <v>1775.33</v>
      </c>
      <c r="I57" t="n">
        <v>89</v>
      </c>
      <c r="J57" t="n">
        <v>338</v>
      </c>
    </row>
    <row r="58">
      <c r="A58" s="19" t="n">
        <v>42795</v>
      </c>
      <c r="B58" t="inlineStr">
        <is>
          <t>CE</t>
        </is>
      </c>
      <c r="C58" t="n">
        <v>28</v>
      </c>
      <c r="D58" t="n">
        <v>26</v>
      </c>
      <c r="E58" t="n">
        <v>7158.84</v>
      </c>
      <c r="F58" t="n">
        <v>8</v>
      </c>
      <c r="G58" t="n">
        <v>26</v>
      </c>
      <c r="H58" t="n">
        <v>753.6799999999999</v>
      </c>
      <c r="I58" t="n">
        <v>28</v>
      </c>
      <c r="J58" t="n">
        <v>81</v>
      </c>
    </row>
    <row r="59">
      <c r="A59" s="19" t="n">
        <v>42795</v>
      </c>
      <c r="B59" t="inlineStr">
        <is>
          <t>DF</t>
        </is>
      </c>
      <c r="C59" t="n">
        <v>57</v>
      </c>
      <c r="D59" t="n">
        <v>54</v>
      </c>
      <c r="E59" t="n">
        <v>7957.29</v>
      </c>
      <c r="F59" t="n">
        <v>0</v>
      </c>
      <c r="G59" t="n">
        <v>54</v>
      </c>
      <c r="H59" t="n">
        <v>643.53</v>
      </c>
      <c r="I59" t="n">
        <v>57</v>
      </c>
      <c r="J59" t="n">
        <v>238</v>
      </c>
    </row>
    <row r="60">
      <c r="A60" s="19" t="n">
        <v>42795</v>
      </c>
      <c r="B60" t="inlineStr">
        <is>
          <t>ES</t>
        </is>
      </c>
      <c r="C60" t="n">
        <v>48</v>
      </c>
      <c r="D60" t="n">
        <v>47</v>
      </c>
      <c r="E60" t="n">
        <v>5930.81</v>
      </c>
      <c r="F60" t="n">
        <v>0</v>
      </c>
      <c r="G60" t="n">
        <v>47</v>
      </c>
      <c r="H60" t="n">
        <v>452.63</v>
      </c>
      <c r="I60" t="n">
        <v>48</v>
      </c>
      <c r="J60" t="n">
        <v>208</v>
      </c>
    </row>
    <row r="61">
      <c r="A61" s="19" t="n">
        <v>42795</v>
      </c>
      <c r="B61" t="inlineStr">
        <is>
          <t>GO</t>
        </is>
      </c>
      <c r="C61" t="n">
        <v>53</v>
      </c>
      <c r="D61" t="n">
        <v>47</v>
      </c>
      <c r="E61" t="n">
        <v>9699.030000000001</v>
      </c>
      <c r="F61" t="n">
        <v>0</v>
      </c>
      <c r="G61" t="n">
        <v>47</v>
      </c>
      <c r="H61" t="n">
        <v>674.5</v>
      </c>
      <c r="I61" t="n">
        <v>53</v>
      </c>
      <c r="J61" t="n">
        <v>207</v>
      </c>
    </row>
    <row r="62">
      <c r="A62" s="19" t="n">
        <v>42795</v>
      </c>
      <c r="B62" t="inlineStr">
        <is>
          <t>MA</t>
        </is>
      </c>
      <c r="C62" t="n">
        <v>24</v>
      </c>
      <c r="D62" t="n">
        <v>22</v>
      </c>
      <c r="E62" t="n">
        <v>2722.15</v>
      </c>
      <c r="F62" t="n">
        <v>4</v>
      </c>
      <c r="G62" t="n">
        <v>22</v>
      </c>
      <c r="H62" t="n">
        <v>530.74</v>
      </c>
      <c r="I62" t="n">
        <v>24</v>
      </c>
      <c r="J62" t="n">
        <v>87</v>
      </c>
    </row>
    <row r="63">
      <c r="A63" s="19" t="n">
        <v>42795</v>
      </c>
      <c r="B63" t="inlineStr">
        <is>
          <t>MG</t>
        </is>
      </c>
      <c r="C63" t="n">
        <v>358</v>
      </c>
      <c r="D63" t="n">
        <v>343</v>
      </c>
      <c r="E63" t="n">
        <v>48493.86</v>
      </c>
      <c r="F63" t="n">
        <v>8</v>
      </c>
      <c r="G63" t="n">
        <v>343</v>
      </c>
      <c r="H63" t="n">
        <v>4001.35</v>
      </c>
      <c r="I63" t="n">
        <v>355</v>
      </c>
      <c r="J63" t="n">
        <v>1504</v>
      </c>
    </row>
    <row r="64">
      <c r="A64" s="19" t="n">
        <v>42795</v>
      </c>
      <c r="B64" t="inlineStr">
        <is>
          <t>MS</t>
        </is>
      </c>
      <c r="C64" t="n">
        <v>20</v>
      </c>
      <c r="D64" t="n">
        <v>19</v>
      </c>
      <c r="E64" t="n">
        <v>6992.9</v>
      </c>
      <c r="F64" t="n">
        <v>0</v>
      </c>
      <c r="G64" t="n">
        <v>19</v>
      </c>
      <c r="H64" t="n">
        <v>237.42</v>
      </c>
      <c r="I64" t="n">
        <v>20</v>
      </c>
      <c r="J64" t="n">
        <v>85</v>
      </c>
    </row>
    <row r="65">
      <c r="A65" s="19" t="n">
        <v>42795</v>
      </c>
      <c r="B65" t="inlineStr">
        <is>
          <t>MT</t>
        </is>
      </c>
      <c r="C65" t="n">
        <v>16</v>
      </c>
      <c r="D65" t="n">
        <v>16</v>
      </c>
      <c r="E65" t="n">
        <v>2702.55</v>
      </c>
      <c r="F65" t="n">
        <v>4</v>
      </c>
      <c r="G65" t="n">
        <v>16</v>
      </c>
      <c r="H65" t="n">
        <v>463.49</v>
      </c>
      <c r="I65" t="n">
        <v>16</v>
      </c>
      <c r="J65" t="n">
        <v>54</v>
      </c>
    </row>
    <row r="66">
      <c r="A66" s="19" t="n">
        <v>42795</v>
      </c>
      <c r="B66" t="inlineStr">
        <is>
          <t>PA</t>
        </is>
      </c>
      <c r="C66" t="n">
        <v>36</v>
      </c>
      <c r="D66" t="n">
        <v>35</v>
      </c>
      <c r="E66" t="n">
        <v>9072.74</v>
      </c>
      <c r="F66" t="n">
        <v>3</v>
      </c>
      <c r="G66" t="n">
        <v>35</v>
      </c>
      <c r="H66" t="n">
        <v>892.15</v>
      </c>
      <c r="I66" t="n">
        <v>36</v>
      </c>
      <c r="J66" t="n">
        <v>127</v>
      </c>
    </row>
    <row r="67">
      <c r="A67" s="19" t="n">
        <v>42795</v>
      </c>
      <c r="B67" t="inlineStr">
        <is>
          <t>PB</t>
        </is>
      </c>
      <c r="C67" t="n">
        <v>16</v>
      </c>
      <c r="D67" t="n">
        <v>16</v>
      </c>
      <c r="E67" t="n">
        <v>4936.41</v>
      </c>
      <c r="F67" t="n">
        <v>1</v>
      </c>
      <c r="G67" t="n">
        <v>16</v>
      </c>
      <c r="H67" t="n">
        <v>280.33</v>
      </c>
      <c r="I67" t="n">
        <v>16</v>
      </c>
      <c r="J67" t="n">
        <v>70</v>
      </c>
    </row>
    <row r="68">
      <c r="A68" s="19" t="n">
        <v>42795</v>
      </c>
      <c r="B68" t="inlineStr">
        <is>
          <t>PE</t>
        </is>
      </c>
      <c r="C68" t="n">
        <v>45</v>
      </c>
      <c r="D68" t="n">
        <v>36</v>
      </c>
      <c r="E68" t="n">
        <v>6519.38</v>
      </c>
      <c r="F68" t="n">
        <v>1</v>
      </c>
      <c r="G68" t="n">
        <v>36</v>
      </c>
      <c r="H68" t="n">
        <v>619.86</v>
      </c>
      <c r="I68" t="n">
        <v>45</v>
      </c>
      <c r="J68" t="n">
        <v>173</v>
      </c>
    </row>
    <row r="69">
      <c r="A69" s="19" t="n">
        <v>42795</v>
      </c>
      <c r="B69" t="inlineStr">
        <is>
          <t>PI</t>
        </is>
      </c>
      <c r="C69" t="n">
        <v>13</v>
      </c>
      <c r="D69" t="n">
        <v>13</v>
      </c>
      <c r="E69" t="n">
        <v>2636.75</v>
      </c>
      <c r="F69" t="n">
        <v>3</v>
      </c>
      <c r="G69" t="n">
        <v>13</v>
      </c>
      <c r="H69" t="n">
        <v>609.65</v>
      </c>
      <c r="I69" t="n">
        <v>13</v>
      </c>
      <c r="J69" t="n">
        <v>54</v>
      </c>
    </row>
    <row r="70">
      <c r="A70" s="19" t="n">
        <v>42795</v>
      </c>
      <c r="B70" t="inlineStr">
        <is>
          <t>PR</t>
        </is>
      </c>
      <c r="C70" t="n">
        <v>127</v>
      </c>
      <c r="D70" t="n">
        <v>121</v>
      </c>
      <c r="E70" t="n">
        <v>16976.2</v>
      </c>
      <c r="F70" t="n">
        <v>5</v>
      </c>
      <c r="G70" t="n">
        <v>121</v>
      </c>
      <c r="H70" t="n">
        <v>1402.75</v>
      </c>
      <c r="I70" t="n">
        <v>127</v>
      </c>
      <c r="J70" t="n">
        <v>533</v>
      </c>
    </row>
    <row r="71">
      <c r="A71" s="19" t="n">
        <v>42795</v>
      </c>
      <c r="B71" t="inlineStr">
        <is>
          <t>RJ</t>
        </is>
      </c>
      <c r="C71" t="n">
        <v>395</v>
      </c>
      <c r="D71" t="n">
        <v>370</v>
      </c>
      <c r="E71" t="n">
        <v>61309.51</v>
      </c>
      <c r="F71" t="n">
        <v>16</v>
      </c>
      <c r="G71" t="n">
        <v>370</v>
      </c>
      <c r="H71" t="n">
        <v>3955.06</v>
      </c>
      <c r="I71" t="n">
        <v>391</v>
      </c>
      <c r="J71" t="n">
        <v>1561</v>
      </c>
    </row>
    <row r="72">
      <c r="A72" s="19" t="n">
        <v>42795</v>
      </c>
      <c r="B72" t="inlineStr">
        <is>
          <t>RN</t>
        </is>
      </c>
      <c r="C72" t="n">
        <v>13</v>
      </c>
      <c r="D72" t="n">
        <v>13</v>
      </c>
      <c r="E72" t="n">
        <v>2104.6</v>
      </c>
      <c r="F72" t="n">
        <v>3</v>
      </c>
      <c r="G72" t="n">
        <v>13</v>
      </c>
      <c r="H72" t="n">
        <v>413.07</v>
      </c>
      <c r="I72" t="n">
        <v>13</v>
      </c>
      <c r="J72" t="n">
        <v>54</v>
      </c>
    </row>
    <row r="73">
      <c r="A73" s="19" t="n">
        <v>42795</v>
      </c>
      <c r="B73" t="inlineStr">
        <is>
          <t>RO</t>
        </is>
      </c>
      <c r="C73" t="n">
        <v>16</v>
      </c>
      <c r="D73" t="n">
        <v>16</v>
      </c>
      <c r="E73" t="n">
        <v>2523.68</v>
      </c>
      <c r="F73" t="n">
        <v>2</v>
      </c>
      <c r="G73" t="n">
        <v>16</v>
      </c>
      <c r="H73" t="n">
        <v>345.28</v>
      </c>
      <c r="I73" t="n">
        <v>16</v>
      </c>
      <c r="J73" t="n">
        <v>61</v>
      </c>
    </row>
    <row r="74">
      <c r="A74" s="19" t="n">
        <v>42795</v>
      </c>
      <c r="B74" t="inlineStr">
        <is>
          <t>RR</t>
        </is>
      </c>
      <c r="C74" t="n">
        <v>2</v>
      </c>
      <c r="D74" t="n">
        <v>2</v>
      </c>
      <c r="E74" t="n">
        <v>330.81</v>
      </c>
      <c r="F74" t="n">
        <v>1</v>
      </c>
      <c r="G74" t="n">
        <v>2</v>
      </c>
      <c r="H74" t="n">
        <v>205.02</v>
      </c>
      <c r="I74" t="n">
        <v>2</v>
      </c>
      <c r="J74" t="n">
        <v>8</v>
      </c>
    </row>
    <row r="75">
      <c r="A75" s="19" t="n">
        <v>42795</v>
      </c>
      <c r="B75" t="inlineStr">
        <is>
          <t>RS</t>
        </is>
      </c>
      <c r="C75" t="n">
        <v>151</v>
      </c>
      <c r="D75" t="n">
        <v>144</v>
      </c>
      <c r="E75" t="n">
        <v>22944.03</v>
      </c>
      <c r="F75" t="n">
        <v>2</v>
      </c>
      <c r="G75" t="n">
        <v>144</v>
      </c>
      <c r="H75" t="n">
        <v>2054.54</v>
      </c>
      <c r="I75" t="n">
        <v>151</v>
      </c>
      <c r="J75" t="n">
        <v>621</v>
      </c>
    </row>
    <row r="76">
      <c r="A76" s="19" t="n">
        <v>42795</v>
      </c>
      <c r="B76" t="inlineStr">
        <is>
          <t>SC</t>
        </is>
      </c>
      <c r="C76" t="n">
        <v>110</v>
      </c>
      <c r="D76" t="n">
        <v>104</v>
      </c>
      <c r="E76" t="n">
        <v>20265.69</v>
      </c>
      <c r="F76" t="n">
        <v>19</v>
      </c>
      <c r="G76" t="n">
        <v>104</v>
      </c>
      <c r="H76" t="n">
        <v>1816.71</v>
      </c>
      <c r="I76" t="n">
        <v>109</v>
      </c>
      <c r="J76" t="n">
        <v>422</v>
      </c>
    </row>
    <row r="77">
      <c r="A77" s="19" t="n">
        <v>42795</v>
      </c>
      <c r="B77" t="inlineStr">
        <is>
          <t>SE</t>
        </is>
      </c>
      <c r="C77" t="n">
        <v>25</v>
      </c>
      <c r="D77" t="n">
        <v>22</v>
      </c>
      <c r="E77" t="n">
        <v>3121.51</v>
      </c>
      <c r="F77" t="n">
        <v>3</v>
      </c>
      <c r="G77" t="n">
        <v>22</v>
      </c>
      <c r="H77" t="n">
        <v>815.7</v>
      </c>
      <c r="I77" t="n">
        <v>25</v>
      </c>
      <c r="J77" t="n">
        <v>86</v>
      </c>
    </row>
    <row r="78">
      <c r="A78" s="19" t="n">
        <v>42795</v>
      </c>
      <c r="B78" t="inlineStr">
        <is>
          <t>SP</t>
        </is>
      </c>
      <c r="C78" t="n">
        <v>1010</v>
      </c>
      <c r="D78" t="n">
        <v>966</v>
      </c>
      <c r="E78" t="n">
        <v>147657.79</v>
      </c>
      <c r="F78" t="n">
        <v>22</v>
      </c>
      <c r="G78" t="n">
        <v>966</v>
      </c>
      <c r="H78" t="n">
        <v>9253.059999999999</v>
      </c>
      <c r="I78" t="n">
        <v>999</v>
      </c>
      <c r="J78" t="n">
        <v>4149</v>
      </c>
    </row>
    <row r="79">
      <c r="A79" s="19" t="n">
        <v>42795</v>
      </c>
      <c r="B79" t="inlineStr">
        <is>
          <t>TO</t>
        </is>
      </c>
      <c r="C79" t="n">
        <v>8</v>
      </c>
      <c r="D79" t="n">
        <v>7</v>
      </c>
      <c r="E79" t="n">
        <v>802.21</v>
      </c>
      <c r="F79" t="n">
        <v>0</v>
      </c>
      <c r="G79" t="n">
        <v>7</v>
      </c>
      <c r="H79" t="n">
        <v>118.59</v>
      </c>
      <c r="I79" t="n">
        <v>8</v>
      </c>
      <c r="J79" t="n">
        <v>31</v>
      </c>
    </row>
    <row r="80">
      <c r="A80" s="19" t="n">
        <v>42826</v>
      </c>
      <c r="B80" t="inlineStr">
        <is>
          <t>AC</t>
        </is>
      </c>
      <c r="C80" t="n">
        <v>5</v>
      </c>
      <c r="D80" t="n">
        <v>5</v>
      </c>
      <c r="E80" t="n">
        <v>1351.51</v>
      </c>
      <c r="F80" t="n">
        <v>0</v>
      </c>
      <c r="G80" t="n">
        <v>5</v>
      </c>
      <c r="H80" t="n">
        <v>129.95</v>
      </c>
      <c r="I80" t="n">
        <v>5</v>
      </c>
      <c r="J80" t="n">
        <v>16</v>
      </c>
    </row>
    <row r="81">
      <c r="A81" s="19" t="n">
        <v>42826</v>
      </c>
      <c r="B81" t="inlineStr">
        <is>
          <t>AL</t>
        </is>
      </c>
      <c r="C81" t="n">
        <v>23</v>
      </c>
      <c r="D81" t="n">
        <v>21</v>
      </c>
      <c r="E81" t="n">
        <v>5169.93</v>
      </c>
      <c r="F81" t="n">
        <v>8</v>
      </c>
      <c r="G81" t="n">
        <v>21</v>
      </c>
      <c r="H81" t="n">
        <v>649.8</v>
      </c>
      <c r="I81" t="n">
        <v>23</v>
      </c>
      <c r="J81" t="n">
        <v>67</v>
      </c>
    </row>
    <row r="82">
      <c r="A82" s="19" t="n">
        <v>42826</v>
      </c>
      <c r="B82" t="inlineStr">
        <is>
          <t>AM</t>
        </is>
      </c>
      <c r="C82" t="n">
        <v>13</v>
      </c>
      <c r="D82" t="n">
        <v>13</v>
      </c>
      <c r="E82" t="n">
        <v>1176.23</v>
      </c>
      <c r="F82" t="n">
        <v>0</v>
      </c>
      <c r="G82" t="n">
        <v>13</v>
      </c>
      <c r="H82" t="n">
        <v>270.71</v>
      </c>
      <c r="I82" t="n">
        <v>13</v>
      </c>
      <c r="J82" t="n">
        <v>59</v>
      </c>
    </row>
    <row r="83">
      <c r="A83" s="19" t="n">
        <v>42826</v>
      </c>
      <c r="B83" t="inlineStr">
        <is>
          <t>BA</t>
        </is>
      </c>
      <c r="C83" t="n">
        <v>93</v>
      </c>
      <c r="D83" t="n">
        <v>84</v>
      </c>
      <c r="E83" t="n">
        <v>20385.4</v>
      </c>
      <c r="F83" t="n">
        <v>12</v>
      </c>
      <c r="G83" t="n">
        <v>84</v>
      </c>
      <c r="H83" t="n">
        <v>2397.72</v>
      </c>
      <c r="I83" t="n">
        <v>90</v>
      </c>
      <c r="J83" t="n">
        <v>344</v>
      </c>
    </row>
    <row r="84">
      <c r="A84" s="19" t="n">
        <v>42826</v>
      </c>
      <c r="B84" t="inlineStr">
        <is>
          <t>CE</t>
        </is>
      </c>
      <c r="C84" t="n">
        <v>43</v>
      </c>
      <c r="D84" t="n">
        <v>42</v>
      </c>
      <c r="E84" t="n">
        <v>6924.79</v>
      </c>
      <c r="F84" t="n">
        <v>5</v>
      </c>
      <c r="G84" t="n">
        <v>42</v>
      </c>
      <c r="H84" t="n">
        <v>1214.72</v>
      </c>
      <c r="I84" t="n">
        <v>43</v>
      </c>
      <c r="J84" t="n">
        <v>171</v>
      </c>
    </row>
    <row r="85">
      <c r="A85" s="19" t="n">
        <v>42826</v>
      </c>
      <c r="B85" t="inlineStr">
        <is>
          <t>DF</t>
        </is>
      </c>
      <c r="C85" t="n">
        <v>35</v>
      </c>
      <c r="D85" t="n">
        <v>34</v>
      </c>
      <c r="E85" t="n">
        <v>8550.68</v>
      </c>
      <c r="F85" t="n">
        <v>0</v>
      </c>
      <c r="G85" t="n">
        <v>34</v>
      </c>
      <c r="H85" t="n">
        <v>507.24</v>
      </c>
      <c r="I85" t="n">
        <v>35</v>
      </c>
      <c r="J85" t="n">
        <v>130</v>
      </c>
    </row>
    <row r="86">
      <c r="A86" s="19" t="n">
        <v>42826</v>
      </c>
      <c r="B86" t="inlineStr">
        <is>
          <t>ES</t>
        </is>
      </c>
      <c r="C86" t="n">
        <v>46</v>
      </c>
      <c r="D86" t="n">
        <v>45</v>
      </c>
      <c r="E86" t="n">
        <v>6381.7</v>
      </c>
      <c r="F86" t="n">
        <v>2</v>
      </c>
      <c r="G86" t="n">
        <v>45</v>
      </c>
      <c r="H86" t="n">
        <v>607.76</v>
      </c>
      <c r="I86" t="n">
        <v>46</v>
      </c>
      <c r="J86" t="n">
        <v>179</v>
      </c>
    </row>
    <row r="87">
      <c r="A87" s="19" t="n">
        <v>42826</v>
      </c>
      <c r="B87" t="inlineStr">
        <is>
          <t>GO</t>
        </is>
      </c>
      <c r="C87" t="n">
        <v>41</v>
      </c>
      <c r="D87" t="n">
        <v>38</v>
      </c>
      <c r="E87" t="n">
        <v>6346.47</v>
      </c>
      <c r="F87" t="n">
        <v>3</v>
      </c>
      <c r="G87" t="n">
        <v>38</v>
      </c>
      <c r="H87" t="n">
        <v>742.65</v>
      </c>
      <c r="I87" t="n">
        <v>41</v>
      </c>
      <c r="J87" t="n">
        <v>153</v>
      </c>
    </row>
    <row r="88">
      <c r="A88" s="19" t="n">
        <v>42826</v>
      </c>
      <c r="B88" t="inlineStr">
        <is>
          <t>MA</t>
        </is>
      </c>
      <c r="C88" t="n">
        <v>27</v>
      </c>
      <c r="D88" t="n">
        <v>25</v>
      </c>
      <c r="E88" t="n">
        <v>3764.05</v>
      </c>
      <c r="F88" t="n">
        <v>1</v>
      </c>
      <c r="G88" t="n">
        <v>25</v>
      </c>
      <c r="H88" t="n">
        <v>530.1900000000001</v>
      </c>
      <c r="I88" t="n">
        <v>26</v>
      </c>
      <c r="J88" t="n">
        <v>111</v>
      </c>
    </row>
    <row r="89">
      <c r="A89" s="19" t="n">
        <v>42826</v>
      </c>
      <c r="B89" t="inlineStr">
        <is>
          <t>MG</t>
        </is>
      </c>
      <c r="C89" t="n">
        <v>275</v>
      </c>
      <c r="D89" t="n">
        <v>266</v>
      </c>
      <c r="E89" t="n">
        <v>44907.12</v>
      </c>
      <c r="F89" t="n">
        <v>7</v>
      </c>
      <c r="G89" t="n">
        <v>266</v>
      </c>
      <c r="H89" t="n">
        <v>3145.01</v>
      </c>
      <c r="I89" t="n">
        <v>274</v>
      </c>
      <c r="J89" t="n">
        <v>1146</v>
      </c>
    </row>
    <row r="90">
      <c r="A90" s="19" t="n">
        <v>42826</v>
      </c>
      <c r="B90" t="inlineStr">
        <is>
          <t>MS</t>
        </is>
      </c>
      <c r="C90" t="n">
        <v>15</v>
      </c>
      <c r="D90" t="n">
        <v>15</v>
      </c>
      <c r="E90" t="n">
        <v>2208.44</v>
      </c>
      <c r="F90" t="n">
        <v>1</v>
      </c>
      <c r="G90" t="n">
        <v>15</v>
      </c>
      <c r="H90" t="n">
        <v>229.74</v>
      </c>
      <c r="I90" t="n">
        <v>15</v>
      </c>
      <c r="J90" t="n">
        <v>67</v>
      </c>
    </row>
    <row r="91">
      <c r="A91" s="19" t="n">
        <v>42826</v>
      </c>
      <c r="B91" t="inlineStr">
        <is>
          <t>MT</t>
        </is>
      </c>
      <c r="C91" t="n">
        <v>27</v>
      </c>
      <c r="D91" t="n">
        <v>25</v>
      </c>
      <c r="E91" t="n">
        <v>3991.56</v>
      </c>
      <c r="F91" t="n">
        <v>2</v>
      </c>
      <c r="G91" t="n">
        <v>25</v>
      </c>
      <c r="H91" t="n">
        <v>542.03</v>
      </c>
      <c r="I91" t="n">
        <v>27</v>
      </c>
      <c r="J91" t="n">
        <v>103</v>
      </c>
    </row>
    <row r="92">
      <c r="A92" s="19" t="n">
        <v>42826</v>
      </c>
      <c r="B92" t="inlineStr">
        <is>
          <t>PA</t>
        </is>
      </c>
      <c r="C92" t="n">
        <v>36</v>
      </c>
      <c r="D92" t="n">
        <v>36</v>
      </c>
      <c r="E92" t="n">
        <v>6108.21</v>
      </c>
      <c r="F92" t="n">
        <v>0</v>
      </c>
      <c r="G92" t="n">
        <v>36</v>
      </c>
      <c r="H92" t="n">
        <v>643.52</v>
      </c>
      <c r="I92" t="n">
        <v>36</v>
      </c>
      <c r="J92" t="n">
        <v>151</v>
      </c>
    </row>
    <row r="93">
      <c r="A93" s="19" t="n">
        <v>42826</v>
      </c>
      <c r="B93" t="inlineStr">
        <is>
          <t>PB</t>
        </is>
      </c>
      <c r="C93" t="n">
        <v>20</v>
      </c>
      <c r="D93" t="n">
        <v>20</v>
      </c>
      <c r="E93" t="n">
        <v>3562.68</v>
      </c>
      <c r="F93" t="n">
        <v>3</v>
      </c>
      <c r="G93" t="n">
        <v>20</v>
      </c>
      <c r="H93" t="n">
        <v>532.84</v>
      </c>
      <c r="I93" t="n">
        <v>19</v>
      </c>
      <c r="J93" t="n">
        <v>65</v>
      </c>
    </row>
    <row r="94">
      <c r="A94" s="19" t="n">
        <v>42826</v>
      </c>
      <c r="B94" t="inlineStr">
        <is>
          <t>PE</t>
        </is>
      </c>
      <c r="C94" t="n">
        <v>40</v>
      </c>
      <c r="D94" t="n">
        <v>36</v>
      </c>
      <c r="E94" t="n">
        <v>4620.24</v>
      </c>
      <c r="F94" t="n">
        <v>3</v>
      </c>
      <c r="G94" t="n">
        <v>36</v>
      </c>
      <c r="H94" t="n">
        <v>821.63</v>
      </c>
      <c r="I94" t="n">
        <v>40</v>
      </c>
      <c r="J94" t="n">
        <v>165</v>
      </c>
    </row>
    <row r="95">
      <c r="A95" s="19" t="n">
        <v>42826</v>
      </c>
      <c r="B95" t="inlineStr">
        <is>
          <t>PI</t>
        </is>
      </c>
      <c r="C95" t="n">
        <v>13</v>
      </c>
      <c r="D95" t="n">
        <v>11</v>
      </c>
      <c r="E95" t="n">
        <v>2448.68</v>
      </c>
      <c r="F95" t="n">
        <v>0</v>
      </c>
      <c r="G95" t="n">
        <v>11</v>
      </c>
      <c r="H95" t="n">
        <v>145.66</v>
      </c>
      <c r="I95" t="n">
        <v>12</v>
      </c>
      <c r="J95" t="n">
        <v>50</v>
      </c>
    </row>
    <row r="96">
      <c r="A96" s="19" t="n">
        <v>42826</v>
      </c>
      <c r="B96" t="inlineStr">
        <is>
          <t>PR</t>
        </is>
      </c>
      <c r="C96" t="n">
        <v>114</v>
      </c>
      <c r="D96" t="n">
        <v>112</v>
      </c>
      <c r="E96" t="n">
        <v>17986.94</v>
      </c>
      <c r="F96" t="n">
        <v>3</v>
      </c>
      <c r="G96" t="n">
        <v>112</v>
      </c>
      <c r="H96" t="n">
        <v>1520.06</v>
      </c>
      <c r="I96" t="n">
        <v>114</v>
      </c>
      <c r="J96" t="n">
        <v>478</v>
      </c>
    </row>
    <row r="97">
      <c r="A97" s="19" t="n">
        <v>42826</v>
      </c>
      <c r="B97" t="inlineStr">
        <is>
          <t>RJ</t>
        </is>
      </c>
      <c r="C97" t="n">
        <v>338</v>
      </c>
      <c r="D97" t="n">
        <v>325</v>
      </c>
      <c r="E97" t="n">
        <v>63917.09</v>
      </c>
      <c r="F97" t="n">
        <v>21</v>
      </c>
      <c r="G97" t="n">
        <v>325</v>
      </c>
      <c r="H97" t="n">
        <v>4631.51</v>
      </c>
      <c r="I97" t="n">
        <v>335</v>
      </c>
      <c r="J97" t="n">
        <v>1360</v>
      </c>
    </row>
    <row r="98">
      <c r="A98" s="19" t="n">
        <v>42826</v>
      </c>
      <c r="B98" t="inlineStr">
        <is>
          <t>RN</t>
        </is>
      </c>
      <c r="C98" t="n">
        <v>10</v>
      </c>
      <c r="D98" t="n">
        <v>10</v>
      </c>
      <c r="E98" t="n">
        <v>1565.25</v>
      </c>
      <c r="F98" t="n">
        <v>0</v>
      </c>
      <c r="G98" t="n">
        <v>10</v>
      </c>
      <c r="H98" t="n">
        <v>190.84</v>
      </c>
      <c r="I98" t="n">
        <v>10</v>
      </c>
      <c r="J98" t="n">
        <v>47</v>
      </c>
    </row>
    <row r="99">
      <c r="A99" s="19" t="n">
        <v>42826</v>
      </c>
      <c r="B99" t="inlineStr">
        <is>
          <t>RO</t>
        </is>
      </c>
      <c r="C99" t="n">
        <v>9</v>
      </c>
      <c r="D99" t="n">
        <v>7</v>
      </c>
      <c r="E99" t="n">
        <v>1042.46</v>
      </c>
      <c r="F99" t="n">
        <v>1</v>
      </c>
      <c r="G99" t="n">
        <v>7</v>
      </c>
      <c r="H99" t="n">
        <v>141.63</v>
      </c>
      <c r="I99" t="n">
        <v>9</v>
      </c>
      <c r="J99" t="n">
        <v>33</v>
      </c>
    </row>
    <row r="100">
      <c r="A100" s="19" t="n">
        <v>42826</v>
      </c>
      <c r="B100" t="inlineStr">
        <is>
          <t>RR</t>
        </is>
      </c>
      <c r="C100" t="n">
        <v>2</v>
      </c>
      <c r="D100" t="n">
        <v>2</v>
      </c>
      <c r="E100" t="n">
        <v>106.89</v>
      </c>
      <c r="F100" t="n">
        <v>0</v>
      </c>
      <c r="G100" t="n">
        <v>2</v>
      </c>
      <c r="H100" t="n">
        <v>44.31</v>
      </c>
      <c r="I100" t="n">
        <v>2</v>
      </c>
      <c r="J100" t="n">
        <v>7</v>
      </c>
    </row>
    <row r="101">
      <c r="A101" s="19" t="n">
        <v>42826</v>
      </c>
      <c r="B101" t="inlineStr">
        <is>
          <t>RS</t>
        </is>
      </c>
      <c r="C101" t="n">
        <v>139</v>
      </c>
      <c r="D101" t="n">
        <v>132</v>
      </c>
      <c r="E101" t="n">
        <v>19462.65</v>
      </c>
      <c r="F101" t="n">
        <v>3</v>
      </c>
      <c r="G101" t="n">
        <v>132</v>
      </c>
      <c r="H101" t="n">
        <v>1900.74</v>
      </c>
      <c r="I101" t="n">
        <v>139</v>
      </c>
      <c r="J101" t="n">
        <v>562</v>
      </c>
    </row>
    <row r="102">
      <c r="A102" s="19" t="n">
        <v>42826</v>
      </c>
      <c r="B102" t="inlineStr">
        <is>
          <t>SC</t>
        </is>
      </c>
      <c r="C102" t="n">
        <v>105</v>
      </c>
      <c r="D102" t="n">
        <v>100</v>
      </c>
      <c r="E102" t="n">
        <v>13324.19</v>
      </c>
      <c r="F102" t="n">
        <v>9</v>
      </c>
      <c r="G102" t="n">
        <v>100</v>
      </c>
      <c r="H102" t="n">
        <v>1638.44</v>
      </c>
      <c r="I102" t="n">
        <v>105</v>
      </c>
      <c r="J102" t="n">
        <v>427</v>
      </c>
    </row>
    <row r="103">
      <c r="A103" s="19" t="n">
        <v>42826</v>
      </c>
      <c r="B103" t="inlineStr">
        <is>
          <t>SE</t>
        </is>
      </c>
      <c r="C103" t="n">
        <v>13</v>
      </c>
      <c r="D103" t="n">
        <v>13</v>
      </c>
      <c r="E103" t="n">
        <v>3340.07</v>
      </c>
      <c r="F103" t="n">
        <v>4</v>
      </c>
      <c r="G103" t="n">
        <v>13</v>
      </c>
      <c r="H103" t="n">
        <v>381.96</v>
      </c>
      <c r="I103" t="n">
        <v>12</v>
      </c>
      <c r="J103" t="n">
        <v>46</v>
      </c>
    </row>
    <row r="104">
      <c r="A104" s="19" t="n">
        <v>42826</v>
      </c>
      <c r="B104" t="inlineStr">
        <is>
          <t>SP</t>
        </is>
      </c>
      <c r="C104" t="n">
        <v>908</v>
      </c>
      <c r="D104" t="n">
        <v>873</v>
      </c>
      <c r="E104" t="n">
        <v>138729.28</v>
      </c>
      <c r="F104" t="n">
        <v>61</v>
      </c>
      <c r="G104" t="n">
        <v>873</v>
      </c>
      <c r="H104" t="n">
        <v>10502.83</v>
      </c>
      <c r="I104" t="n">
        <v>902</v>
      </c>
      <c r="J104" t="n">
        <v>3657</v>
      </c>
    </row>
    <row r="105">
      <c r="A105" s="19" t="n">
        <v>42826</v>
      </c>
      <c r="B105" t="inlineStr">
        <is>
          <t>TO</t>
        </is>
      </c>
      <c r="C105" t="n">
        <v>14</v>
      </c>
      <c r="D105" t="n">
        <v>13</v>
      </c>
      <c r="E105" t="n">
        <v>3439.89</v>
      </c>
      <c r="F105" t="n">
        <v>2</v>
      </c>
      <c r="G105" t="n">
        <v>13</v>
      </c>
      <c r="H105" t="n">
        <v>292.21</v>
      </c>
      <c r="I105" t="n">
        <v>14</v>
      </c>
      <c r="J105" t="n">
        <v>59</v>
      </c>
    </row>
    <row r="106">
      <c r="A106" s="19" t="n">
        <v>42856</v>
      </c>
      <c r="B106" t="inlineStr">
        <is>
          <t>AC</t>
        </is>
      </c>
      <c r="C106" t="n">
        <v>8</v>
      </c>
      <c r="D106" t="n">
        <v>8</v>
      </c>
      <c r="E106" t="n">
        <v>2371.73</v>
      </c>
      <c r="F106" t="n">
        <v>0</v>
      </c>
      <c r="G106" t="n">
        <v>8</v>
      </c>
      <c r="H106" t="n">
        <v>159.73</v>
      </c>
      <c r="I106" t="n">
        <v>8</v>
      </c>
      <c r="J106" t="n">
        <v>33</v>
      </c>
    </row>
    <row r="107">
      <c r="A107" s="19" t="n">
        <v>42856</v>
      </c>
      <c r="B107" t="inlineStr">
        <is>
          <t>AL</t>
        </is>
      </c>
      <c r="C107" t="n">
        <v>27</v>
      </c>
      <c r="D107" t="n">
        <v>26</v>
      </c>
      <c r="E107" t="n">
        <v>5634.42</v>
      </c>
      <c r="F107" t="n">
        <v>2</v>
      </c>
      <c r="G107" t="n">
        <v>26</v>
      </c>
      <c r="H107" t="n">
        <v>581.3200000000001</v>
      </c>
      <c r="I107" t="n">
        <v>26</v>
      </c>
      <c r="J107" t="n">
        <v>100</v>
      </c>
    </row>
    <row r="108">
      <c r="A108" s="19" t="n">
        <v>42856</v>
      </c>
      <c r="B108" t="inlineStr">
        <is>
          <t>AM</t>
        </is>
      </c>
      <c r="C108" t="n">
        <v>10</v>
      </c>
      <c r="D108" t="n">
        <v>8</v>
      </c>
      <c r="E108" t="n">
        <v>1244.49</v>
      </c>
      <c r="F108" t="n">
        <v>1</v>
      </c>
      <c r="G108" t="n">
        <v>8</v>
      </c>
      <c r="H108" t="n">
        <v>262.11</v>
      </c>
      <c r="I108" t="n">
        <v>10</v>
      </c>
      <c r="J108" t="n">
        <v>34</v>
      </c>
    </row>
    <row r="109">
      <c r="A109" s="19" t="n">
        <v>42856</v>
      </c>
      <c r="B109" t="inlineStr">
        <is>
          <t>AP</t>
        </is>
      </c>
      <c r="C109" t="n">
        <v>5</v>
      </c>
      <c r="D109" t="n">
        <v>4</v>
      </c>
      <c r="E109" t="n">
        <v>1387.85</v>
      </c>
      <c r="F109" t="n">
        <v>0</v>
      </c>
      <c r="G109" t="n">
        <v>4</v>
      </c>
      <c r="H109" t="n">
        <v>74.12</v>
      </c>
      <c r="I109" t="n">
        <v>5</v>
      </c>
      <c r="J109" t="n">
        <v>19</v>
      </c>
    </row>
    <row r="110">
      <c r="A110" s="19" t="n">
        <v>42856</v>
      </c>
      <c r="B110" t="inlineStr">
        <is>
          <t>BA</t>
        </is>
      </c>
      <c r="C110" t="n">
        <v>127</v>
      </c>
      <c r="D110" t="n">
        <v>119</v>
      </c>
      <c r="E110" t="n">
        <v>19536.1</v>
      </c>
      <c r="F110" t="n">
        <v>4</v>
      </c>
      <c r="G110" t="n">
        <v>119</v>
      </c>
      <c r="H110" t="n">
        <v>1999.23</v>
      </c>
      <c r="I110" t="n">
        <v>126</v>
      </c>
      <c r="J110" t="n">
        <v>482</v>
      </c>
    </row>
    <row r="111">
      <c r="A111" s="19" t="n">
        <v>42856</v>
      </c>
      <c r="B111" t="inlineStr">
        <is>
          <t>CE</t>
        </is>
      </c>
      <c r="C111" t="n">
        <v>62</v>
      </c>
      <c r="D111" t="n">
        <v>62</v>
      </c>
      <c r="E111" t="n">
        <v>12628.67</v>
      </c>
      <c r="F111" t="n">
        <v>1</v>
      </c>
      <c r="G111" t="n">
        <v>62</v>
      </c>
      <c r="H111" t="n">
        <v>1028.26</v>
      </c>
      <c r="I111" t="n">
        <v>62</v>
      </c>
      <c r="J111" t="n">
        <v>274</v>
      </c>
    </row>
    <row r="112">
      <c r="A112" s="19" t="n">
        <v>42856</v>
      </c>
      <c r="B112" t="inlineStr">
        <is>
          <t>DF</t>
        </is>
      </c>
      <c r="C112" t="n">
        <v>64</v>
      </c>
      <c r="D112" t="n">
        <v>60</v>
      </c>
      <c r="E112" t="n">
        <v>8687.25</v>
      </c>
      <c r="F112" t="n">
        <v>0</v>
      </c>
      <c r="G112" t="n">
        <v>60</v>
      </c>
      <c r="H112" t="n">
        <v>700.15</v>
      </c>
      <c r="I112" t="n">
        <v>64</v>
      </c>
      <c r="J112" t="n">
        <v>270</v>
      </c>
    </row>
    <row r="113">
      <c r="A113" s="19" t="n">
        <v>42856</v>
      </c>
      <c r="B113" t="inlineStr">
        <is>
          <t>ES</t>
        </is>
      </c>
      <c r="C113" t="n">
        <v>94</v>
      </c>
      <c r="D113" t="n">
        <v>90</v>
      </c>
      <c r="E113" t="n">
        <v>14658.68</v>
      </c>
      <c r="F113" t="n">
        <v>3</v>
      </c>
      <c r="G113" t="n">
        <v>90</v>
      </c>
      <c r="H113" t="n">
        <v>1147.68</v>
      </c>
      <c r="I113" t="n">
        <v>91</v>
      </c>
      <c r="J113" t="n">
        <v>391</v>
      </c>
    </row>
    <row r="114">
      <c r="A114" s="19" t="n">
        <v>42856</v>
      </c>
      <c r="B114" t="inlineStr">
        <is>
          <t>GO</t>
        </is>
      </c>
      <c r="C114" t="n">
        <v>87</v>
      </c>
      <c r="D114" t="n">
        <v>83</v>
      </c>
      <c r="E114" t="n">
        <v>18845.55</v>
      </c>
      <c r="F114" t="n">
        <v>3</v>
      </c>
      <c r="G114" t="n">
        <v>83</v>
      </c>
      <c r="H114" t="n">
        <v>1325.75</v>
      </c>
      <c r="I114" t="n">
        <v>87</v>
      </c>
      <c r="J114" t="n">
        <v>354</v>
      </c>
    </row>
    <row r="115">
      <c r="A115" s="19" t="n">
        <v>42856</v>
      </c>
      <c r="B115" t="inlineStr">
        <is>
          <t>MA</t>
        </is>
      </c>
      <c r="C115" t="n">
        <v>33</v>
      </c>
      <c r="D115" t="n">
        <v>31</v>
      </c>
      <c r="E115" t="n">
        <v>4274.65</v>
      </c>
      <c r="F115" t="n">
        <v>0</v>
      </c>
      <c r="G115" t="n">
        <v>31</v>
      </c>
      <c r="H115" t="n">
        <v>510.64</v>
      </c>
      <c r="I115" t="n">
        <v>33</v>
      </c>
      <c r="J115" t="n">
        <v>136</v>
      </c>
    </row>
    <row r="116">
      <c r="A116" s="19" t="n">
        <v>42856</v>
      </c>
      <c r="B116" t="inlineStr">
        <is>
          <t>MG</t>
        </is>
      </c>
      <c r="C116" t="n">
        <v>428</v>
      </c>
      <c r="D116" t="n">
        <v>412</v>
      </c>
      <c r="E116" t="n">
        <v>57394.46</v>
      </c>
      <c r="F116" t="n">
        <v>7</v>
      </c>
      <c r="G116" t="n">
        <v>412</v>
      </c>
      <c r="H116" t="n">
        <v>4397.16</v>
      </c>
      <c r="I116" t="n">
        <v>426</v>
      </c>
      <c r="J116" t="n">
        <v>1727</v>
      </c>
    </row>
    <row r="117">
      <c r="A117" s="19" t="n">
        <v>42856</v>
      </c>
      <c r="B117" t="inlineStr">
        <is>
          <t>MS</t>
        </is>
      </c>
      <c r="C117" t="n">
        <v>29</v>
      </c>
      <c r="D117" t="n">
        <v>26</v>
      </c>
      <c r="E117" t="n">
        <v>3722.32</v>
      </c>
      <c r="F117" t="n">
        <v>0</v>
      </c>
      <c r="G117" t="n">
        <v>26</v>
      </c>
      <c r="H117" t="n">
        <v>326.97</v>
      </c>
      <c r="I117" t="n">
        <v>29</v>
      </c>
      <c r="J117" t="n">
        <v>125</v>
      </c>
    </row>
    <row r="118">
      <c r="A118" s="19" t="n">
        <v>42856</v>
      </c>
      <c r="B118" t="inlineStr">
        <is>
          <t>MT</t>
        </is>
      </c>
      <c r="C118" t="n">
        <v>37</v>
      </c>
      <c r="D118" t="n">
        <v>37</v>
      </c>
      <c r="E118" t="n">
        <v>7680.57</v>
      </c>
      <c r="F118" t="n">
        <v>1</v>
      </c>
      <c r="G118" t="n">
        <v>37</v>
      </c>
      <c r="H118" t="n">
        <v>556.36</v>
      </c>
      <c r="I118" t="n">
        <v>37</v>
      </c>
      <c r="J118" t="n">
        <v>161</v>
      </c>
    </row>
    <row r="119">
      <c r="A119" s="19" t="n">
        <v>42856</v>
      </c>
      <c r="B119" t="inlineStr">
        <is>
          <t>PA</t>
        </is>
      </c>
      <c r="C119" t="n">
        <v>35</v>
      </c>
      <c r="D119" t="n">
        <v>35</v>
      </c>
      <c r="E119" t="n">
        <v>6570.7</v>
      </c>
      <c r="F119" t="n">
        <v>1</v>
      </c>
      <c r="G119" t="n">
        <v>35</v>
      </c>
      <c r="H119" t="n">
        <v>669.27</v>
      </c>
      <c r="I119" t="n">
        <v>35</v>
      </c>
      <c r="J119" t="n">
        <v>151</v>
      </c>
    </row>
    <row r="120">
      <c r="A120" s="19" t="n">
        <v>42856</v>
      </c>
      <c r="B120" t="inlineStr">
        <is>
          <t>PB</t>
        </is>
      </c>
      <c r="C120" t="n">
        <v>18</v>
      </c>
      <c r="D120" t="n">
        <v>17</v>
      </c>
      <c r="E120" t="n">
        <v>3372.49</v>
      </c>
      <c r="F120" t="n">
        <v>1</v>
      </c>
      <c r="G120" t="n">
        <v>17</v>
      </c>
      <c r="H120" t="n">
        <v>287.95</v>
      </c>
      <c r="I120" t="n">
        <v>18</v>
      </c>
      <c r="J120" t="n">
        <v>71</v>
      </c>
    </row>
    <row r="121">
      <c r="A121" s="19" t="n">
        <v>42856</v>
      </c>
      <c r="B121" t="inlineStr">
        <is>
          <t>PE</t>
        </is>
      </c>
      <c r="C121" t="n">
        <v>68</v>
      </c>
      <c r="D121" t="n">
        <v>63</v>
      </c>
      <c r="E121" t="n">
        <v>12430.73</v>
      </c>
      <c r="F121" t="n">
        <v>1</v>
      </c>
      <c r="G121" t="n">
        <v>63</v>
      </c>
      <c r="H121" t="n">
        <v>955</v>
      </c>
      <c r="I121" t="n">
        <v>68</v>
      </c>
      <c r="J121" t="n">
        <v>277</v>
      </c>
    </row>
    <row r="122">
      <c r="A122" s="19" t="n">
        <v>42856</v>
      </c>
      <c r="B122" t="inlineStr">
        <is>
          <t>PI</t>
        </is>
      </c>
      <c r="C122" t="n">
        <v>25</v>
      </c>
      <c r="D122" t="n">
        <v>23</v>
      </c>
      <c r="E122" t="n">
        <v>6676.85</v>
      </c>
      <c r="F122" t="n">
        <v>0</v>
      </c>
      <c r="G122" t="n">
        <v>23</v>
      </c>
      <c r="H122" t="n">
        <v>328.18</v>
      </c>
      <c r="I122" t="n">
        <v>25</v>
      </c>
      <c r="J122" t="n">
        <v>107</v>
      </c>
    </row>
    <row r="123">
      <c r="A123" s="19" t="n">
        <v>42856</v>
      </c>
      <c r="B123" t="inlineStr">
        <is>
          <t>PR</t>
        </is>
      </c>
      <c r="C123" t="n">
        <v>213</v>
      </c>
      <c r="D123" t="n">
        <v>206</v>
      </c>
      <c r="E123" t="n">
        <v>35559</v>
      </c>
      <c r="F123" t="n">
        <v>2</v>
      </c>
      <c r="G123" t="n">
        <v>206</v>
      </c>
      <c r="H123" t="n">
        <v>2116.85</v>
      </c>
      <c r="I123" t="n">
        <v>211</v>
      </c>
      <c r="J123" t="n">
        <v>913</v>
      </c>
    </row>
    <row r="124">
      <c r="A124" s="19" t="n">
        <v>42856</v>
      </c>
      <c r="B124" t="inlineStr">
        <is>
          <t>RJ</t>
        </is>
      </c>
      <c r="C124" t="n">
        <v>488</v>
      </c>
      <c r="D124" t="n">
        <v>466</v>
      </c>
      <c r="E124" t="n">
        <v>81282.64999999999</v>
      </c>
      <c r="F124" t="n">
        <v>13</v>
      </c>
      <c r="G124" t="n">
        <v>466</v>
      </c>
      <c r="H124" t="n">
        <v>5188.45</v>
      </c>
      <c r="I124" t="n">
        <v>482</v>
      </c>
      <c r="J124" t="n">
        <v>1968</v>
      </c>
    </row>
    <row r="125">
      <c r="A125" s="19" t="n">
        <v>42856</v>
      </c>
      <c r="B125" t="inlineStr">
        <is>
          <t>RN</t>
        </is>
      </c>
      <c r="C125" t="n">
        <v>17</v>
      </c>
      <c r="D125" t="n">
        <v>17</v>
      </c>
      <c r="E125" t="n">
        <v>5582.87</v>
      </c>
      <c r="F125" t="n">
        <v>0</v>
      </c>
      <c r="G125" t="n">
        <v>17</v>
      </c>
      <c r="H125" t="n">
        <v>268.5</v>
      </c>
      <c r="I125" t="n">
        <v>17</v>
      </c>
      <c r="J125" t="n">
        <v>71</v>
      </c>
    </row>
    <row r="126">
      <c r="A126" s="19" t="n">
        <v>42856</v>
      </c>
      <c r="B126" t="inlineStr">
        <is>
          <t>RO</t>
        </is>
      </c>
      <c r="C126" t="n">
        <v>9</v>
      </c>
      <c r="D126" t="n">
        <v>8</v>
      </c>
      <c r="E126" t="n">
        <v>828.88</v>
      </c>
      <c r="F126" t="n">
        <v>0</v>
      </c>
      <c r="G126" t="n">
        <v>8</v>
      </c>
      <c r="H126" t="n">
        <v>135.35</v>
      </c>
      <c r="I126" t="n">
        <v>8</v>
      </c>
      <c r="J126" t="n">
        <v>30</v>
      </c>
    </row>
    <row r="127">
      <c r="A127" s="19" t="n">
        <v>42856</v>
      </c>
      <c r="B127" t="inlineStr">
        <is>
          <t>RR</t>
        </is>
      </c>
      <c r="C127" t="n">
        <v>2</v>
      </c>
      <c r="D127" t="n">
        <v>2</v>
      </c>
      <c r="E127" t="n">
        <v>317.97</v>
      </c>
      <c r="F127" t="n">
        <v>0</v>
      </c>
      <c r="G127" t="n">
        <v>2</v>
      </c>
      <c r="H127" t="n">
        <v>56.69</v>
      </c>
      <c r="I127" t="n">
        <v>2</v>
      </c>
      <c r="J127" t="n">
        <v>8</v>
      </c>
    </row>
    <row r="128">
      <c r="A128" s="19" t="n">
        <v>42856</v>
      </c>
      <c r="B128" t="inlineStr">
        <is>
          <t>RS</t>
        </is>
      </c>
      <c r="C128" t="n">
        <v>208</v>
      </c>
      <c r="D128" t="n">
        <v>206</v>
      </c>
      <c r="E128" t="n">
        <v>33017.56</v>
      </c>
      <c r="F128" t="n">
        <v>1</v>
      </c>
      <c r="G128" t="n">
        <v>205</v>
      </c>
      <c r="H128" t="n">
        <v>2362.23</v>
      </c>
      <c r="I128" t="n">
        <v>208</v>
      </c>
      <c r="J128" t="n">
        <v>890</v>
      </c>
    </row>
    <row r="129">
      <c r="A129" s="19" t="n">
        <v>42856</v>
      </c>
      <c r="B129" t="inlineStr">
        <is>
          <t>SC</t>
        </is>
      </c>
      <c r="C129" t="n">
        <v>152</v>
      </c>
      <c r="D129" t="n">
        <v>146</v>
      </c>
      <c r="E129" t="n">
        <v>24493.29</v>
      </c>
      <c r="F129" t="n">
        <v>7</v>
      </c>
      <c r="G129" t="n">
        <v>146</v>
      </c>
      <c r="H129" t="n">
        <v>2094.54</v>
      </c>
      <c r="I129" t="n">
        <v>148</v>
      </c>
      <c r="J129" t="n">
        <v>604</v>
      </c>
    </row>
    <row r="130">
      <c r="A130" s="19" t="n">
        <v>42856</v>
      </c>
      <c r="B130" t="inlineStr">
        <is>
          <t>SE</t>
        </is>
      </c>
      <c r="C130" t="n">
        <v>11</v>
      </c>
      <c r="D130" t="n">
        <v>11</v>
      </c>
      <c r="E130" t="n">
        <v>1059.53</v>
      </c>
      <c r="F130" t="n">
        <v>0</v>
      </c>
      <c r="G130" t="n">
        <v>11</v>
      </c>
      <c r="H130" t="n">
        <v>218.31</v>
      </c>
      <c r="I130" t="n">
        <v>11</v>
      </c>
      <c r="J130" t="n">
        <v>51</v>
      </c>
    </row>
    <row r="131">
      <c r="A131" s="19" t="n">
        <v>42856</v>
      </c>
      <c r="B131" t="inlineStr">
        <is>
          <t>SP</t>
        </is>
      </c>
      <c r="C131" t="n">
        <v>1425</v>
      </c>
      <c r="D131" t="n">
        <v>1363</v>
      </c>
      <c r="E131" t="n">
        <v>194990.23</v>
      </c>
      <c r="F131" t="n">
        <v>58</v>
      </c>
      <c r="G131" t="n">
        <v>1363</v>
      </c>
      <c r="H131" t="n">
        <v>12167.52</v>
      </c>
      <c r="I131" t="n">
        <v>1412</v>
      </c>
      <c r="J131" t="n">
        <v>5863</v>
      </c>
    </row>
    <row r="132">
      <c r="A132" s="19" t="n">
        <v>42856</v>
      </c>
      <c r="B132" t="inlineStr">
        <is>
          <t>TO</t>
        </is>
      </c>
      <c r="C132" t="n">
        <v>18</v>
      </c>
      <c r="D132" t="n">
        <v>17</v>
      </c>
      <c r="E132" t="n">
        <v>2601.91</v>
      </c>
      <c r="F132" t="n">
        <v>0</v>
      </c>
      <c r="G132" t="n">
        <v>17</v>
      </c>
      <c r="H132" t="n">
        <v>219.36</v>
      </c>
      <c r="I132" t="n">
        <v>17</v>
      </c>
      <c r="J132" t="n">
        <v>68</v>
      </c>
    </row>
    <row r="133">
      <c r="A133" s="19" t="n">
        <v>42887</v>
      </c>
      <c r="B133" t="inlineStr">
        <is>
          <t>AC</t>
        </is>
      </c>
      <c r="C133" t="n">
        <v>4</v>
      </c>
      <c r="D133" t="n">
        <v>4</v>
      </c>
      <c r="E133" t="n">
        <v>510.27</v>
      </c>
      <c r="F133" t="n">
        <v>0</v>
      </c>
      <c r="G133" t="n">
        <v>4</v>
      </c>
      <c r="H133" t="n">
        <v>74.76000000000001</v>
      </c>
      <c r="I133" t="n">
        <v>4</v>
      </c>
      <c r="J133" t="n">
        <v>19</v>
      </c>
    </row>
    <row r="134">
      <c r="A134" s="19" t="n">
        <v>42887</v>
      </c>
      <c r="B134" t="inlineStr">
        <is>
          <t>AL</t>
        </is>
      </c>
      <c r="C134" t="n">
        <v>10</v>
      </c>
      <c r="D134" t="n">
        <v>10</v>
      </c>
      <c r="E134" t="n">
        <v>1268.97</v>
      </c>
      <c r="F134" t="n">
        <v>3</v>
      </c>
      <c r="G134" t="n">
        <v>10</v>
      </c>
      <c r="H134" t="n">
        <v>261.72</v>
      </c>
      <c r="I134" t="n">
        <v>10</v>
      </c>
      <c r="J134" t="n">
        <v>34</v>
      </c>
    </row>
    <row r="135">
      <c r="A135" s="19" t="n">
        <v>42887</v>
      </c>
      <c r="B135" t="inlineStr">
        <is>
          <t>AM</t>
        </is>
      </c>
      <c r="C135" t="n">
        <v>1</v>
      </c>
      <c r="D135" t="n">
        <v>1</v>
      </c>
      <c r="E135" t="n">
        <v>204.84</v>
      </c>
      <c r="F135" t="n">
        <v>0</v>
      </c>
      <c r="G135" t="n">
        <v>1</v>
      </c>
      <c r="H135" t="n">
        <v>5.53</v>
      </c>
      <c r="I135" t="n">
        <v>1</v>
      </c>
      <c r="J135" t="n">
        <v>2</v>
      </c>
    </row>
    <row r="136">
      <c r="A136" s="19" t="n">
        <v>42887</v>
      </c>
      <c r="B136" t="inlineStr">
        <is>
          <t>AP</t>
        </is>
      </c>
      <c r="C136" t="n">
        <v>2</v>
      </c>
      <c r="D136" t="n">
        <v>2</v>
      </c>
      <c r="E136" t="n">
        <v>369.74</v>
      </c>
      <c r="F136" t="n">
        <v>0</v>
      </c>
      <c r="G136" t="n">
        <v>2</v>
      </c>
      <c r="H136" t="n">
        <v>51.1</v>
      </c>
      <c r="I136" t="n">
        <v>2</v>
      </c>
      <c r="J136" t="n">
        <v>9</v>
      </c>
    </row>
    <row r="137">
      <c r="A137" s="19" t="n">
        <v>42887</v>
      </c>
      <c r="B137" t="inlineStr">
        <is>
          <t>BA</t>
        </is>
      </c>
      <c r="C137" t="n">
        <v>106</v>
      </c>
      <c r="D137" t="n">
        <v>103</v>
      </c>
      <c r="E137" t="n">
        <v>22872.92</v>
      </c>
      <c r="F137" t="n">
        <v>8</v>
      </c>
      <c r="G137" t="n">
        <v>103</v>
      </c>
      <c r="H137" t="n">
        <v>1889.95</v>
      </c>
      <c r="I137" t="n">
        <v>105</v>
      </c>
      <c r="J137" t="n">
        <v>383</v>
      </c>
    </row>
    <row r="138">
      <c r="A138" s="19" t="n">
        <v>42887</v>
      </c>
      <c r="B138" t="inlineStr">
        <is>
          <t>CE</t>
        </is>
      </c>
      <c r="C138" t="n">
        <v>47</v>
      </c>
      <c r="D138" t="n">
        <v>44</v>
      </c>
      <c r="E138" t="n">
        <v>10884.08</v>
      </c>
      <c r="F138" t="n">
        <v>0</v>
      </c>
      <c r="G138" t="n">
        <v>44</v>
      </c>
      <c r="H138" t="n">
        <v>730.29</v>
      </c>
      <c r="I138" t="n">
        <v>46</v>
      </c>
      <c r="J138" t="n">
        <v>187</v>
      </c>
    </row>
    <row r="139">
      <c r="A139" s="19" t="n">
        <v>42887</v>
      </c>
      <c r="B139" t="inlineStr">
        <is>
          <t>DF</t>
        </is>
      </c>
      <c r="C139" t="n">
        <v>70</v>
      </c>
      <c r="D139" t="n">
        <v>69</v>
      </c>
      <c r="E139" t="n">
        <v>9700.35</v>
      </c>
      <c r="F139" t="n">
        <v>1</v>
      </c>
      <c r="G139" t="n">
        <v>69</v>
      </c>
      <c r="H139" t="n">
        <v>955.5599999999999</v>
      </c>
      <c r="I139" t="n">
        <v>70</v>
      </c>
      <c r="J139" t="n">
        <v>275</v>
      </c>
    </row>
    <row r="140">
      <c r="A140" s="19" t="n">
        <v>42887</v>
      </c>
      <c r="B140" t="inlineStr">
        <is>
          <t>ES</t>
        </is>
      </c>
      <c r="C140" t="n">
        <v>80</v>
      </c>
      <c r="D140" t="n">
        <v>79</v>
      </c>
      <c r="E140" t="n">
        <v>12343.29</v>
      </c>
      <c r="F140" t="n">
        <v>5</v>
      </c>
      <c r="G140" t="n">
        <v>79</v>
      </c>
      <c r="H140" t="n">
        <v>1273.2</v>
      </c>
      <c r="I140" t="n">
        <v>79</v>
      </c>
      <c r="J140" t="n">
        <v>336</v>
      </c>
    </row>
    <row r="141">
      <c r="A141" s="19" t="n">
        <v>42887</v>
      </c>
      <c r="B141" t="inlineStr">
        <is>
          <t>GO</t>
        </is>
      </c>
      <c r="C141" t="n">
        <v>79</v>
      </c>
      <c r="D141" t="n">
        <v>73</v>
      </c>
      <c r="E141" t="n">
        <v>10585.22</v>
      </c>
      <c r="F141" t="n">
        <v>3</v>
      </c>
      <c r="G141" t="n">
        <v>73</v>
      </c>
      <c r="H141" t="n">
        <v>1140.21</v>
      </c>
      <c r="I141" t="n">
        <v>79</v>
      </c>
      <c r="J141" t="n">
        <v>323</v>
      </c>
    </row>
    <row r="142">
      <c r="A142" s="19" t="n">
        <v>42887</v>
      </c>
      <c r="B142" t="inlineStr">
        <is>
          <t>MA</t>
        </is>
      </c>
      <c r="C142" t="n">
        <v>17</v>
      </c>
      <c r="D142" t="n">
        <v>15</v>
      </c>
      <c r="E142" t="n">
        <v>2224.06</v>
      </c>
      <c r="F142" t="n">
        <v>0</v>
      </c>
      <c r="G142" t="n">
        <v>15</v>
      </c>
      <c r="H142" t="n">
        <v>246.79</v>
      </c>
      <c r="I142" t="n">
        <v>17</v>
      </c>
      <c r="J142" t="n">
        <v>62</v>
      </c>
    </row>
    <row r="143">
      <c r="A143" s="19" t="n">
        <v>42887</v>
      </c>
      <c r="B143" t="inlineStr">
        <is>
          <t>MG</t>
        </is>
      </c>
      <c r="C143" t="n">
        <v>363</v>
      </c>
      <c r="D143" t="n">
        <v>356</v>
      </c>
      <c r="E143" t="n">
        <v>54349.25</v>
      </c>
      <c r="F143" t="n">
        <v>5</v>
      </c>
      <c r="G143" t="n">
        <v>356</v>
      </c>
      <c r="H143" t="n">
        <v>4298.31</v>
      </c>
      <c r="I143" t="n">
        <v>360</v>
      </c>
      <c r="J143" t="n">
        <v>1532</v>
      </c>
    </row>
    <row r="144">
      <c r="A144" s="19" t="n">
        <v>42887</v>
      </c>
      <c r="B144" t="inlineStr">
        <is>
          <t>MS</t>
        </is>
      </c>
      <c r="C144" t="n">
        <v>27</v>
      </c>
      <c r="D144" t="n">
        <v>27</v>
      </c>
      <c r="E144" t="n">
        <v>4442.66</v>
      </c>
      <c r="F144" t="n">
        <v>0</v>
      </c>
      <c r="G144" t="n">
        <v>27</v>
      </c>
      <c r="H144" t="n">
        <v>392.43</v>
      </c>
      <c r="I144" t="n">
        <v>27</v>
      </c>
      <c r="J144" t="n">
        <v>114</v>
      </c>
    </row>
    <row r="145">
      <c r="A145" s="19" t="n">
        <v>42887</v>
      </c>
      <c r="B145" t="inlineStr">
        <is>
          <t>MT</t>
        </is>
      </c>
      <c r="C145" t="n">
        <v>25</v>
      </c>
      <c r="D145" t="n">
        <v>24</v>
      </c>
      <c r="E145" t="n">
        <v>4821.91</v>
      </c>
      <c r="F145" t="n">
        <v>1</v>
      </c>
      <c r="G145" t="n">
        <v>24</v>
      </c>
      <c r="H145" t="n">
        <v>402.33</v>
      </c>
      <c r="I145" t="n">
        <v>25</v>
      </c>
      <c r="J145" t="n">
        <v>104</v>
      </c>
    </row>
    <row r="146">
      <c r="A146" s="19" t="n">
        <v>42887</v>
      </c>
      <c r="B146" t="inlineStr">
        <is>
          <t>PA</t>
        </is>
      </c>
      <c r="C146" t="n">
        <v>38</v>
      </c>
      <c r="D146" t="n">
        <v>36</v>
      </c>
      <c r="E146" t="n">
        <v>6610.35</v>
      </c>
      <c r="F146" t="n">
        <v>2</v>
      </c>
      <c r="G146" t="n">
        <v>36</v>
      </c>
      <c r="H146" t="n">
        <v>702.49</v>
      </c>
      <c r="I146" t="n">
        <v>38</v>
      </c>
      <c r="J146" t="n">
        <v>159</v>
      </c>
    </row>
    <row r="147">
      <c r="A147" s="19" t="n">
        <v>42887</v>
      </c>
      <c r="B147" t="inlineStr">
        <is>
          <t>PB</t>
        </is>
      </c>
      <c r="C147" t="n">
        <v>23</v>
      </c>
      <c r="D147" t="n">
        <v>22</v>
      </c>
      <c r="E147" t="n">
        <v>6912.99</v>
      </c>
      <c r="F147" t="n">
        <v>2</v>
      </c>
      <c r="G147" t="n">
        <v>22</v>
      </c>
      <c r="H147" t="n">
        <v>442.05</v>
      </c>
      <c r="I147" t="n">
        <v>23</v>
      </c>
      <c r="J147" t="n">
        <v>93</v>
      </c>
    </row>
    <row r="148">
      <c r="A148" s="19" t="n">
        <v>42887</v>
      </c>
      <c r="B148" t="inlineStr">
        <is>
          <t>PE</t>
        </is>
      </c>
      <c r="C148" t="n">
        <v>46</v>
      </c>
      <c r="D148" t="n">
        <v>41</v>
      </c>
      <c r="E148" t="n">
        <v>7108.02</v>
      </c>
      <c r="F148" t="n">
        <v>2</v>
      </c>
      <c r="G148" t="n">
        <v>41</v>
      </c>
      <c r="H148" t="n">
        <v>789.9299999999999</v>
      </c>
      <c r="I148" t="n">
        <v>46</v>
      </c>
      <c r="J148" t="n">
        <v>184</v>
      </c>
    </row>
    <row r="149">
      <c r="A149" s="19" t="n">
        <v>42887</v>
      </c>
      <c r="B149" t="inlineStr">
        <is>
          <t>PI</t>
        </is>
      </c>
      <c r="C149" t="n">
        <v>14</v>
      </c>
      <c r="D149" t="n">
        <v>14</v>
      </c>
      <c r="E149" t="n">
        <v>2626.96</v>
      </c>
      <c r="F149" t="n">
        <v>0</v>
      </c>
      <c r="G149" t="n">
        <v>14</v>
      </c>
      <c r="H149" t="n">
        <v>189.38</v>
      </c>
      <c r="I149" t="n">
        <v>14</v>
      </c>
      <c r="J149" t="n">
        <v>63</v>
      </c>
    </row>
    <row r="150">
      <c r="A150" s="19" t="n">
        <v>42887</v>
      </c>
      <c r="B150" t="inlineStr">
        <is>
          <t>PR</t>
        </is>
      </c>
      <c r="C150" t="n">
        <v>170</v>
      </c>
      <c r="D150" t="n">
        <v>167</v>
      </c>
      <c r="E150" t="n">
        <v>25511.62</v>
      </c>
      <c r="F150" t="n">
        <v>2</v>
      </c>
      <c r="G150" t="n">
        <v>167</v>
      </c>
      <c r="H150" t="n">
        <v>1887.11</v>
      </c>
      <c r="I150" t="n">
        <v>170</v>
      </c>
      <c r="J150" t="n">
        <v>728</v>
      </c>
    </row>
    <row r="151">
      <c r="A151" s="19" t="n">
        <v>42887</v>
      </c>
      <c r="B151" t="inlineStr">
        <is>
          <t>RJ</t>
        </is>
      </c>
      <c r="C151" t="n">
        <v>412</v>
      </c>
      <c r="D151" t="n">
        <v>399</v>
      </c>
      <c r="E151" t="n">
        <v>61867.18</v>
      </c>
      <c r="F151" t="n">
        <v>13</v>
      </c>
      <c r="G151" t="n">
        <v>399</v>
      </c>
      <c r="H151" t="n">
        <v>5002.95</v>
      </c>
      <c r="I151" t="n">
        <v>405</v>
      </c>
      <c r="J151" t="n">
        <v>1665</v>
      </c>
    </row>
    <row r="152">
      <c r="A152" s="19" t="n">
        <v>42887</v>
      </c>
      <c r="B152" t="inlineStr">
        <is>
          <t>RN</t>
        </is>
      </c>
      <c r="C152" t="n">
        <v>13</v>
      </c>
      <c r="D152" t="n">
        <v>12</v>
      </c>
      <c r="E152" t="n">
        <v>1593.06</v>
      </c>
      <c r="F152" t="n">
        <v>1</v>
      </c>
      <c r="G152" t="n">
        <v>12</v>
      </c>
      <c r="H152" t="n">
        <v>242.75</v>
      </c>
      <c r="I152" t="n">
        <v>12</v>
      </c>
      <c r="J152" t="n">
        <v>47</v>
      </c>
    </row>
    <row r="153">
      <c r="A153" s="19" t="n">
        <v>42887</v>
      </c>
      <c r="B153" t="inlineStr">
        <is>
          <t>RO</t>
        </is>
      </c>
      <c r="C153" t="n">
        <v>10</v>
      </c>
      <c r="D153" t="n">
        <v>10</v>
      </c>
      <c r="E153" t="n">
        <v>2311.06</v>
      </c>
      <c r="F153" t="n">
        <v>0</v>
      </c>
      <c r="G153" t="n">
        <v>10</v>
      </c>
      <c r="H153" t="n">
        <v>179.99</v>
      </c>
      <c r="I153" t="n">
        <v>10</v>
      </c>
      <c r="J153" t="n">
        <v>48</v>
      </c>
    </row>
    <row r="154">
      <c r="A154" s="19" t="n">
        <v>42887</v>
      </c>
      <c r="B154" t="inlineStr">
        <is>
          <t>RR</t>
        </is>
      </c>
      <c r="C154" t="n">
        <v>3</v>
      </c>
      <c r="D154" t="n">
        <v>3</v>
      </c>
      <c r="E154" t="n">
        <v>175.18</v>
      </c>
      <c r="F154" t="n">
        <v>0</v>
      </c>
      <c r="G154" t="n">
        <v>3</v>
      </c>
      <c r="H154" t="n">
        <v>59.26</v>
      </c>
      <c r="I154" t="n">
        <v>3</v>
      </c>
      <c r="J154" t="n">
        <v>14</v>
      </c>
    </row>
    <row r="155">
      <c r="A155" s="19" t="n">
        <v>42887</v>
      </c>
      <c r="B155" t="inlineStr">
        <is>
          <t>RS</t>
        </is>
      </c>
      <c r="C155" t="n">
        <v>221</v>
      </c>
      <c r="D155" t="n">
        <v>215</v>
      </c>
      <c r="E155" t="n">
        <v>28267.63</v>
      </c>
      <c r="F155" t="n">
        <v>1</v>
      </c>
      <c r="G155" t="n">
        <v>215</v>
      </c>
      <c r="H155" t="n">
        <v>2669.15</v>
      </c>
      <c r="I155" t="n">
        <v>221</v>
      </c>
      <c r="J155" t="n">
        <v>984</v>
      </c>
    </row>
    <row r="156">
      <c r="A156" s="19" t="n">
        <v>42887</v>
      </c>
      <c r="B156" t="inlineStr">
        <is>
          <t>SC</t>
        </is>
      </c>
      <c r="C156" t="n">
        <v>116</v>
      </c>
      <c r="D156" t="n">
        <v>109</v>
      </c>
      <c r="E156" t="n">
        <v>15522.55</v>
      </c>
      <c r="F156" t="n">
        <v>4</v>
      </c>
      <c r="G156" t="n">
        <v>109</v>
      </c>
      <c r="H156" t="n">
        <v>1573.46</v>
      </c>
      <c r="I156" t="n">
        <v>115</v>
      </c>
      <c r="J156" t="n">
        <v>465</v>
      </c>
    </row>
    <row r="157">
      <c r="A157" s="19" t="n">
        <v>42887</v>
      </c>
      <c r="B157" t="inlineStr">
        <is>
          <t>SE</t>
        </is>
      </c>
      <c r="C157" t="n">
        <v>9</v>
      </c>
      <c r="D157" t="n">
        <v>8</v>
      </c>
      <c r="E157" t="n">
        <v>1619.23</v>
      </c>
      <c r="F157" t="n">
        <v>0</v>
      </c>
      <c r="G157" t="n">
        <v>8</v>
      </c>
      <c r="H157" t="n">
        <v>161.72</v>
      </c>
      <c r="I157" t="n">
        <v>9</v>
      </c>
      <c r="J157" t="n">
        <v>30</v>
      </c>
    </row>
    <row r="158">
      <c r="A158" s="19" t="n">
        <v>42887</v>
      </c>
      <c r="B158" t="inlineStr">
        <is>
          <t>SP</t>
        </is>
      </c>
      <c r="C158" t="n">
        <v>1331</v>
      </c>
      <c r="D158" t="n">
        <v>1284</v>
      </c>
      <c r="E158" t="n">
        <v>190905.86</v>
      </c>
      <c r="F158" t="n">
        <v>42</v>
      </c>
      <c r="G158" t="n">
        <v>1284</v>
      </c>
      <c r="H158" t="n">
        <v>11913.94</v>
      </c>
      <c r="I158" t="n">
        <v>1319</v>
      </c>
      <c r="J158" t="n">
        <v>5447</v>
      </c>
    </row>
    <row r="159">
      <c r="A159" s="19" t="n">
        <v>42887</v>
      </c>
      <c r="B159" t="inlineStr">
        <is>
          <t>TO</t>
        </is>
      </c>
      <c r="C159" t="n">
        <v>8</v>
      </c>
      <c r="D159" t="n">
        <v>8</v>
      </c>
      <c r="E159" t="n">
        <v>4441.12</v>
      </c>
      <c r="F159" t="n">
        <v>0</v>
      </c>
      <c r="G159" t="n">
        <v>8</v>
      </c>
      <c r="H159" t="n">
        <v>120.08</v>
      </c>
      <c r="I159" t="n">
        <v>8</v>
      </c>
      <c r="J159" t="n">
        <v>38</v>
      </c>
    </row>
    <row r="160">
      <c r="A160" s="19" t="n">
        <v>42917</v>
      </c>
      <c r="B160" t="inlineStr">
        <is>
          <t>AC</t>
        </is>
      </c>
      <c r="C160" t="n">
        <v>5</v>
      </c>
      <c r="D160" t="n">
        <v>5</v>
      </c>
      <c r="E160" t="n">
        <v>794.4</v>
      </c>
      <c r="F160" t="n">
        <v>0</v>
      </c>
      <c r="G160" t="n">
        <v>5</v>
      </c>
      <c r="H160" t="n">
        <v>91.31999999999999</v>
      </c>
      <c r="I160" t="n">
        <v>5</v>
      </c>
      <c r="J160" t="n">
        <v>22</v>
      </c>
    </row>
    <row r="161">
      <c r="A161" s="19" t="n">
        <v>42917</v>
      </c>
      <c r="B161" t="inlineStr">
        <is>
          <t>AL</t>
        </is>
      </c>
      <c r="C161" t="n">
        <v>17</v>
      </c>
      <c r="D161" t="n">
        <v>15</v>
      </c>
      <c r="E161" t="n">
        <v>2839.57</v>
      </c>
      <c r="F161" t="n">
        <v>7</v>
      </c>
      <c r="G161" t="n">
        <v>15</v>
      </c>
      <c r="H161" t="n">
        <v>468.09</v>
      </c>
      <c r="I161" t="n">
        <v>16</v>
      </c>
      <c r="J161" t="n">
        <v>53</v>
      </c>
    </row>
    <row r="162">
      <c r="A162" s="19" t="n">
        <v>42917</v>
      </c>
      <c r="B162" t="inlineStr">
        <is>
          <t>AM</t>
        </is>
      </c>
      <c r="C162" t="n">
        <v>5</v>
      </c>
      <c r="D162" t="n">
        <v>5</v>
      </c>
      <c r="E162" t="n">
        <v>951.4</v>
      </c>
      <c r="F162" t="n">
        <v>0</v>
      </c>
      <c r="G162" t="n">
        <v>5</v>
      </c>
      <c r="H162" t="n">
        <v>93.59</v>
      </c>
      <c r="I162" t="n">
        <v>5</v>
      </c>
      <c r="J162" t="n">
        <v>19</v>
      </c>
    </row>
    <row r="163">
      <c r="A163" s="19" t="n">
        <v>42917</v>
      </c>
      <c r="B163" t="inlineStr">
        <is>
          <t>AP</t>
        </is>
      </c>
      <c r="C163" t="n">
        <v>1</v>
      </c>
      <c r="D163" t="n">
        <v>1</v>
      </c>
      <c r="E163" t="n">
        <v>292.39</v>
      </c>
      <c r="F163" t="n">
        <v>0</v>
      </c>
      <c r="G163" t="n">
        <v>1</v>
      </c>
      <c r="H163" t="n">
        <v>16.83</v>
      </c>
      <c r="I163" t="n">
        <v>1</v>
      </c>
      <c r="J163" t="n">
        <v>4</v>
      </c>
    </row>
    <row r="164">
      <c r="A164" s="19" t="n">
        <v>42917</v>
      </c>
      <c r="B164" t="inlineStr">
        <is>
          <t>BA</t>
        </is>
      </c>
      <c r="C164" t="n">
        <v>155</v>
      </c>
      <c r="D164" t="n">
        <v>144</v>
      </c>
      <c r="E164" t="n">
        <v>22119.87</v>
      </c>
      <c r="F164" t="n">
        <v>7</v>
      </c>
      <c r="G164" t="n">
        <v>144</v>
      </c>
      <c r="H164" t="n">
        <v>2606.18</v>
      </c>
      <c r="I164" t="n">
        <v>153</v>
      </c>
      <c r="J164" t="n">
        <v>618</v>
      </c>
    </row>
    <row r="165">
      <c r="A165" s="19" t="n">
        <v>42917</v>
      </c>
      <c r="B165" t="inlineStr">
        <is>
          <t>CE</t>
        </is>
      </c>
      <c r="C165" t="n">
        <v>53</v>
      </c>
      <c r="D165" t="n">
        <v>53</v>
      </c>
      <c r="E165" t="n">
        <v>9833.209999999999</v>
      </c>
      <c r="F165" t="n">
        <v>0</v>
      </c>
      <c r="G165" t="n">
        <v>53</v>
      </c>
      <c r="H165" t="n">
        <v>892.45</v>
      </c>
      <c r="I165" t="n">
        <v>53</v>
      </c>
      <c r="J165" t="n">
        <v>229</v>
      </c>
    </row>
    <row r="166">
      <c r="A166" s="19" t="n">
        <v>42917</v>
      </c>
      <c r="B166" t="inlineStr">
        <is>
          <t>DF</t>
        </is>
      </c>
      <c r="C166" t="n">
        <v>77</v>
      </c>
      <c r="D166" t="n">
        <v>75</v>
      </c>
      <c r="E166" t="n">
        <v>12837.69</v>
      </c>
      <c r="F166" t="n">
        <v>0</v>
      </c>
      <c r="G166" t="n">
        <v>75</v>
      </c>
      <c r="H166" t="n">
        <v>951.7</v>
      </c>
      <c r="I166" t="n">
        <v>76</v>
      </c>
      <c r="J166" t="n">
        <v>331</v>
      </c>
    </row>
    <row r="167">
      <c r="A167" s="19" t="n">
        <v>42917</v>
      </c>
      <c r="B167" t="inlineStr">
        <is>
          <t>ES</t>
        </is>
      </c>
      <c r="C167" t="n">
        <v>83</v>
      </c>
      <c r="D167" t="n">
        <v>81</v>
      </c>
      <c r="E167" t="n">
        <v>8879.17</v>
      </c>
      <c r="F167" t="n">
        <v>3</v>
      </c>
      <c r="G167" t="n">
        <v>81</v>
      </c>
      <c r="H167" t="n">
        <v>1198.27</v>
      </c>
      <c r="I167" t="n">
        <v>81</v>
      </c>
      <c r="J167" t="n">
        <v>321</v>
      </c>
    </row>
    <row r="168">
      <c r="A168" s="19" t="n">
        <v>42917</v>
      </c>
      <c r="B168" t="inlineStr">
        <is>
          <t>GO</t>
        </is>
      </c>
      <c r="C168" t="n">
        <v>77</v>
      </c>
      <c r="D168" t="n">
        <v>77</v>
      </c>
      <c r="E168" t="n">
        <v>10576.97</v>
      </c>
      <c r="F168" t="n">
        <v>3</v>
      </c>
      <c r="G168" t="n">
        <v>77</v>
      </c>
      <c r="H168" t="n">
        <v>1118.4</v>
      </c>
      <c r="I168" t="n">
        <v>77</v>
      </c>
      <c r="J168" t="n">
        <v>342</v>
      </c>
    </row>
    <row r="169">
      <c r="A169" s="19" t="n">
        <v>42917</v>
      </c>
      <c r="B169" t="inlineStr">
        <is>
          <t>MA</t>
        </is>
      </c>
      <c r="C169" t="n">
        <v>39</v>
      </c>
      <c r="D169" t="n">
        <v>37</v>
      </c>
      <c r="E169" t="n">
        <v>7599.9</v>
      </c>
      <c r="F169" t="n">
        <v>0</v>
      </c>
      <c r="G169" t="n">
        <v>37</v>
      </c>
      <c r="H169" t="n">
        <v>766.22</v>
      </c>
      <c r="I169" t="n">
        <v>39</v>
      </c>
      <c r="J169" t="n">
        <v>155</v>
      </c>
    </row>
    <row r="170">
      <c r="A170" s="19" t="n">
        <v>42917</v>
      </c>
      <c r="B170" t="inlineStr">
        <is>
          <t>MG</t>
        </is>
      </c>
      <c r="C170" t="n">
        <v>453</v>
      </c>
      <c r="D170" t="n">
        <v>435</v>
      </c>
      <c r="E170" t="n">
        <v>63482.46</v>
      </c>
      <c r="F170" t="n">
        <v>4</v>
      </c>
      <c r="G170" t="n">
        <v>435</v>
      </c>
      <c r="H170" t="n">
        <v>4882.29</v>
      </c>
      <c r="I170" t="n">
        <v>446</v>
      </c>
      <c r="J170" t="n">
        <v>1841</v>
      </c>
    </row>
    <row r="171">
      <c r="A171" s="19" t="n">
        <v>42917</v>
      </c>
      <c r="B171" t="inlineStr">
        <is>
          <t>MS</t>
        </is>
      </c>
      <c r="C171" t="n">
        <v>25</v>
      </c>
      <c r="D171" t="n">
        <v>24</v>
      </c>
      <c r="E171" t="n">
        <v>4120.79</v>
      </c>
      <c r="F171" t="n">
        <v>0</v>
      </c>
      <c r="G171" t="n">
        <v>24</v>
      </c>
      <c r="H171" t="n">
        <v>331.26</v>
      </c>
      <c r="I171" t="n">
        <v>25</v>
      </c>
      <c r="J171" t="n">
        <v>107</v>
      </c>
    </row>
    <row r="172">
      <c r="A172" s="19" t="n">
        <v>42917</v>
      </c>
      <c r="B172" t="inlineStr">
        <is>
          <t>MT</t>
        </is>
      </c>
      <c r="C172" t="n">
        <v>38</v>
      </c>
      <c r="D172" t="n">
        <v>37</v>
      </c>
      <c r="E172" t="n">
        <v>11302.11</v>
      </c>
      <c r="F172" t="n">
        <v>0</v>
      </c>
      <c r="G172" t="n">
        <v>37</v>
      </c>
      <c r="H172" t="n">
        <v>576.98</v>
      </c>
      <c r="I172" t="n">
        <v>37</v>
      </c>
      <c r="J172" t="n">
        <v>162</v>
      </c>
    </row>
    <row r="173">
      <c r="A173" s="19" t="n">
        <v>42917</v>
      </c>
      <c r="B173" t="inlineStr">
        <is>
          <t>PA</t>
        </is>
      </c>
      <c r="C173" t="n">
        <v>39</v>
      </c>
      <c r="D173" t="n">
        <v>36</v>
      </c>
      <c r="E173" t="n">
        <v>5700.98</v>
      </c>
      <c r="F173" t="n">
        <v>3</v>
      </c>
      <c r="G173" t="n">
        <v>36</v>
      </c>
      <c r="H173" t="n">
        <v>684.73</v>
      </c>
      <c r="I173" t="n">
        <v>39</v>
      </c>
      <c r="J173" t="n">
        <v>151</v>
      </c>
    </row>
    <row r="174">
      <c r="A174" s="19" t="n">
        <v>42917</v>
      </c>
      <c r="B174" t="inlineStr">
        <is>
          <t>PB</t>
        </is>
      </c>
      <c r="C174" t="n">
        <v>27</v>
      </c>
      <c r="D174" t="n">
        <v>26</v>
      </c>
      <c r="E174" t="n">
        <v>5527.03</v>
      </c>
      <c r="F174" t="n">
        <v>5</v>
      </c>
      <c r="G174" t="n">
        <v>26</v>
      </c>
      <c r="H174" t="n">
        <v>695.61</v>
      </c>
      <c r="I174" t="n">
        <v>27</v>
      </c>
      <c r="J174" t="n">
        <v>111</v>
      </c>
    </row>
    <row r="175">
      <c r="A175" s="19" t="n">
        <v>42917</v>
      </c>
      <c r="B175" t="inlineStr">
        <is>
          <t>PE</t>
        </is>
      </c>
      <c r="C175" t="n">
        <v>73</v>
      </c>
      <c r="D175" t="n">
        <v>70</v>
      </c>
      <c r="E175" t="n">
        <v>11523.39</v>
      </c>
      <c r="F175" t="n">
        <v>13</v>
      </c>
      <c r="G175" t="n">
        <v>70</v>
      </c>
      <c r="H175" t="n">
        <v>1655.87</v>
      </c>
      <c r="I175" t="n">
        <v>73</v>
      </c>
      <c r="J175" t="n">
        <v>266</v>
      </c>
    </row>
    <row r="176">
      <c r="A176" s="19" t="n">
        <v>42917</v>
      </c>
      <c r="B176" t="inlineStr">
        <is>
          <t>PI</t>
        </is>
      </c>
      <c r="C176" t="n">
        <v>20</v>
      </c>
      <c r="D176" t="n">
        <v>20</v>
      </c>
      <c r="E176" t="n">
        <v>2938.77</v>
      </c>
      <c r="F176" t="n">
        <v>1</v>
      </c>
      <c r="G176" t="n">
        <v>20</v>
      </c>
      <c r="H176" t="n">
        <v>298.95</v>
      </c>
      <c r="I176" t="n">
        <v>19</v>
      </c>
      <c r="J176" t="n">
        <v>77</v>
      </c>
    </row>
    <row r="177">
      <c r="A177" s="19" t="n">
        <v>42917</v>
      </c>
      <c r="B177" t="inlineStr">
        <is>
          <t>PR</t>
        </is>
      </c>
      <c r="C177" t="n">
        <v>203</v>
      </c>
      <c r="D177" t="n">
        <v>195</v>
      </c>
      <c r="E177" t="n">
        <v>28853.67</v>
      </c>
      <c r="F177" t="n">
        <v>1</v>
      </c>
      <c r="G177" t="n">
        <v>195</v>
      </c>
      <c r="H177" t="n">
        <v>2106.6</v>
      </c>
      <c r="I177" t="n">
        <v>202</v>
      </c>
      <c r="J177" t="n">
        <v>895</v>
      </c>
    </row>
    <row r="178">
      <c r="A178" s="19" t="n">
        <v>42917</v>
      </c>
      <c r="B178" t="inlineStr">
        <is>
          <t>RJ</t>
        </is>
      </c>
      <c r="C178" t="n">
        <v>571</v>
      </c>
      <c r="D178" t="n">
        <v>547</v>
      </c>
      <c r="E178" t="n">
        <v>87535.71000000001</v>
      </c>
      <c r="F178" t="n">
        <v>17</v>
      </c>
      <c r="G178" t="n">
        <v>547</v>
      </c>
      <c r="H178" t="n">
        <v>6779.97</v>
      </c>
      <c r="I178" t="n">
        <v>561</v>
      </c>
      <c r="J178" t="n">
        <v>2314</v>
      </c>
    </row>
    <row r="179">
      <c r="A179" s="19" t="n">
        <v>42917</v>
      </c>
      <c r="B179" t="inlineStr">
        <is>
          <t>RN</t>
        </is>
      </c>
      <c r="C179" t="n">
        <v>27</v>
      </c>
      <c r="D179" t="n">
        <v>27</v>
      </c>
      <c r="E179" t="n">
        <v>4178.25</v>
      </c>
      <c r="F179" t="n">
        <v>3</v>
      </c>
      <c r="G179" t="n">
        <v>27</v>
      </c>
      <c r="H179" t="n">
        <v>647.72</v>
      </c>
      <c r="I179" t="n">
        <v>27</v>
      </c>
      <c r="J179" t="n">
        <v>107</v>
      </c>
    </row>
    <row r="180">
      <c r="A180" s="19" t="n">
        <v>42917</v>
      </c>
      <c r="B180" t="inlineStr">
        <is>
          <t>RO</t>
        </is>
      </c>
      <c r="C180" t="n">
        <v>11</v>
      </c>
      <c r="D180" t="n">
        <v>10</v>
      </c>
      <c r="E180" t="n">
        <v>1428.64</v>
      </c>
      <c r="F180" t="n">
        <v>0</v>
      </c>
      <c r="G180" t="n">
        <v>10</v>
      </c>
      <c r="H180" t="n">
        <v>184.93</v>
      </c>
      <c r="I180" t="n">
        <v>11</v>
      </c>
      <c r="J180" t="n">
        <v>45</v>
      </c>
    </row>
    <row r="181">
      <c r="A181" s="19" t="n">
        <v>42917</v>
      </c>
      <c r="B181" t="inlineStr">
        <is>
          <t>RR</t>
        </is>
      </c>
      <c r="C181" t="n">
        <v>1</v>
      </c>
      <c r="D181" t="n">
        <v>1</v>
      </c>
      <c r="E181" t="n">
        <v>225.01</v>
      </c>
      <c r="F181" t="n">
        <v>0</v>
      </c>
      <c r="G181" t="n">
        <v>1</v>
      </c>
      <c r="H181" t="n">
        <v>8.52</v>
      </c>
      <c r="I181" t="n">
        <v>1</v>
      </c>
      <c r="J181" t="n">
        <v>5</v>
      </c>
    </row>
    <row r="182">
      <c r="A182" s="19" t="n">
        <v>42917</v>
      </c>
      <c r="B182" t="inlineStr">
        <is>
          <t>RS</t>
        </is>
      </c>
      <c r="C182" t="n">
        <v>249</v>
      </c>
      <c r="D182" t="n">
        <v>242</v>
      </c>
      <c r="E182" t="n">
        <v>34590.91</v>
      </c>
      <c r="F182" t="n">
        <v>6</v>
      </c>
      <c r="G182" t="n">
        <v>242</v>
      </c>
      <c r="H182" t="n">
        <v>3240.57</v>
      </c>
      <c r="I182" t="n">
        <v>248</v>
      </c>
      <c r="J182" t="n">
        <v>1048</v>
      </c>
    </row>
    <row r="183">
      <c r="A183" s="19" t="n">
        <v>42917</v>
      </c>
      <c r="B183" t="inlineStr">
        <is>
          <t>SC</t>
        </is>
      </c>
      <c r="C183" t="n">
        <v>158</v>
      </c>
      <c r="D183" t="n">
        <v>152</v>
      </c>
      <c r="E183" t="n">
        <v>21810.52</v>
      </c>
      <c r="F183" t="n">
        <v>7</v>
      </c>
      <c r="G183" t="n">
        <v>152</v>
      </c>
      <c r="H183" t="n">
        <v>1990.59</v>
      </c>
      <c r="I183" t="n">
        <v>158</v>
      </c>
      <c r="J183" t="n">
        <v>679</v>
      </c>
    </row>
    <row r="184">
      <c r="A184" s="19" t="n">
        <v>42917</v>
      </c>
      <c r="B184" t="inlineStr">
        <is>
          <t>SE</t>
        </is>
      </c>
      <c r="C184" t="n">
        <v>14</v>
      </c>
      <c r="D184" t="n">
        <v>13</v>
      </c>
      <c r="E184" t="n">
        <v>1773.19</v>
      </c>
      <c r="F184" t="n">
        <v>0</v>
      </c>
      <c r="G184" t="n">
        <v>13</v>
      </c>
      <c r="H184" t="n">
        <v>248.1</v>
      </c>
      <c r="I184" t="n">
        <v>14</v>
      </c>
      <c r="J184" t="n">
        <v>52</v>
      </c>
    </row>
    <row r="185">
      <c r="A185" s="19" t="n">
        <v>42917</v>
      </c>
      <c r="B185" t="inlineStr">
        <is>
          <t>SP</t>
        </is>
      </c>
      <c r="C185" t="n">
        <v>1604</v>
      </c>
      <c r="D185" t="n">
        <v>1543</v>
      </c>
      <c r="E185" t="n">
        <v>204456.5</v>
      </c>
      <c r="F185" t="n">
        <v>28</v>
      </c>
      <c r="G185" t="n">
        <v>1543</v>
      </c>
      <c r="H185" t="n">
        <v>12333.41</v>
      </c>
      <c r="I185" t="n">
        <v>1595</v>
      </c>
      <c r="J185" t="n">
        <v>6706</v>
      </c>
    </row>
    <row r="186">
      <c r="A186" s="19" t="n">
        <v>42917</v>
      </c>
      <c r="B186" t="inlineStr">
        <is>
          <t>TO</t>
        </is>
      </c>
      <c r="C186" t="n">
        <v>1</v>
      </c>
      <c r="D186" t="n">
        <v>1</v>
      </c>
      <c r="E186" t="n">
        <v>126.58</v>
      </c>
      <c r="F186" t="n">
        <v>0</v>
      </c>
      <c r="G186" t="n">
        <v>1</v>
      </c>
      <c r="H186" t="n">
        <v>18.09</v>
      </c>
      <c r="I186" t="n">
        <v>1</v>
      </c>
      <c r="J186" t="n">
        <v>4</v>
      </c>
    </row>
    <row r="187">
      <c r="A187" s="19" t="n">
        <v>42948</v>
      </c>
      <c r="B187" t="inlineStr">
        <is>
          <t>AC</t>
        </is>
      </c>
      <c r="C187" t="n">
        <v>4</v>
      </c>
      <c r="D187" t="n">
        <v>4</v>
      </c>
      <c r="E187" t="n">
        <v>765.83</v>
      </c>
      <c r="F187" t="n">
        <v>0</v>
      </c>
      <c r="G187" t="n">
        <v>4</v>
      </c>
      <c r="H187" t="n">
        <v>72.29000000000001</v>
      </c>
      <c r="I187" t="n">
        <v>4</v>
      </c>
      <c r="J187" t="n">
        <v>15</v>
      </c>
    </row>
    <row r="188">
      <c r="A188" s="19" t="n">
        <v>42948</v>
      </c>
      <c r="B188" t="inlineStr">
        <is>
          <t>AL</t>
        </is>
      </c>
      <c r="C188" t="n">
        <v>18</v>
      </c>
      <c r="D188" t="n">
        <v>17</v>
      </c>
      <c r="E188" t="n">
        <v>9558.32</v>
      </c>
      <c r="F188" t="n">
        <v>3</v>
      </c>
      <c r="G188" t="n">
        <v>17</v>
      </c>
      <c r="H188" t="n">
        <v>425.92</v>
      </c>
      <c r="I188" t="n">
        <v>18</v>
      </c>
      <c r="J188" t="n">
        <v>68</v>
      </c>
    </row>
    <row r="189">
      <c r="A189" s="19" t="n">
        <v>42948</v>
      </c>
      <c r="B189" t="inlineStr">
        <is>
          <t>AM</t>
        </is>
      </c>
      <c r="C189" t="n">
        <v>5</v>
      </c>
      <c r="D189" t="n">
        <v>5</v>
      </c>
      <c r="E189" t="n">
        <v>1483.41</v>
      </c>
      <c r="F189" t="n">
        <v>0</v>
      </c>
      <c r="G189" t="n">
        <v>5</v>
      </c>
      <c r="H189" t="n">
        <v>118.32</v>
      </c>
      <c r="I189" t="n">
        <v>5</v>
      </c>
      <c r="J189" t="n">
        <v>23</v>
      </c>
    </row>
    <row r="190">
      <c r="A190" s="19" t="n">
        <v>42948</v>
      </c>
      <c r="B190" t="inlineStr">
        <is>
          <t>AP</t>
        </is>
      </c>
      <c r="C190" t="n">
        <v>3</v>
      </c>
      <c r="D190" t="n">
        <v>3</v>
      </c>
      <c r="E190" t="n">
        <v>384.78</v>
      </c>
      <c r="F190" t="n">
        <v>0</v>
      </c>
      <c r="G190" t="n">
        <v>3</v>
      </c>
      <c r="H190" t="n">
        <v>67.04000000000001</v>
      </c>
      <c r="I190" t="n">
        <v>3</v>
      </c>
      <c r="J190" t="n">
        <v>13</v>
      </c>
    </row>
    <row r="191">
      <c r="A191" s="19" t="n">
        <v>42948</v>
      </c>
      <c r="B191" t="inlineStr">
        <is>
          <t>BA</t>
        </is>
      </c>
      <c r="C191" t="n">
        <v>158</v>
      </c>
      <c r="D191" t="n">
        <v>152</v>
      </c>
      <c r="E191" t="n">
        <v>29358.41</v>
      </c>
      <c r="F191" t="n">
        <v>5</v>
      </c>
      <c r="G191" t="n">
        <v>152</v>
      </c>
      <c r="H191" t="n">
        <v>2332.27</v>
      </c>
      <c r="I191" t="n">
        <v>156</v>
      </c>
      <c r="J191" t="n">
        <v>644</v>
      </c>
    </row>
    <row r="192">
      <c r="A192" s="19" t="n">
        <v>42948</v>
      </c>
      <c r="B192" t="inlineStr">
        <is>
          <t>CE</t>
        </is>
      </c>
      <c r="C192" t="n">
        <v>73</v>
      </c>
      <c r="D192" t="n">
        <v>73</v>
      </c>
      <c r="E192" t="n">
        <v>12957.67</v>
      </c>
      <c r="F192" t="n">
        <v>1</v>
      </c>
      <c r="G192" t="n">
        <v>73</v>
      </c>
      <c r="H192" t="n">
        <v>1175.53</v>
      </c>
      <c r="I192" t="n">
        <v>73</v>
      </c>
      <c r="J192" t="n">
        <v>332</v>
      </c>
    </row>
    <row r="193">
      <c r="A193" s="19" t="n">
        <v>42948</v>
      </c>
      <c r="B193" t="inlineStr">
        <is>
          <t>DF</t>
        </is>
      </c>
      <c r="C193" t="n">
        <v>87</v>
      </c>
      <c r="D193" t="n">
        <v>83</v>
      </c>
      <c r="E193" t="n">
        <v>11396.93</v>
      </c>
      <c r="F193" t="n">
        <v>1</v>
      </c>
      <c r="G193" t="n">
        <v>83</v>
      </c>
      <c r="H193" t="n">
        <v>980.27</v>
      </c>
      <c r="I193" t="n">
        <v>87</v>
      </c>
      <c r="J193" t="n">
        <v>369</v>
      </c>
    </row>
    <row r="194">
      <c r="A194" s="19" t="n">
        <v>42948</v>
      </c>
      <c r="B194" t="inlineStr">
        <is>
          <t>ES</t>
        </is>
      </c>
      <c r="C194" t="n">
        <v>95</v>
      </c>
      <c r="D194" t="n">
        <v>94</v>
      </c>
      <c r="E194" t="n">
        <v>15344.55</v>
      </c>
      <c r="F194" t="n">
        <v>4</v>
      </c>
      <c r="G194" t="n">
        <v>94</v>
      </c>
      <c r="H194" t="n">
        <v>1276</v>
      </c>
      <c r="I194" t="n">
        <v>95</v>
      </c>
      <c r="J194" t="n">
        <v>397</v>
      </c>
    </row>
    <row r="195">
      <c r="A195" s="19" t="n">
        <v>42948</v>
      </c>
      <c r="B195" t="inlineStr">
        <is>
          <t>GO</t>
        </is>
      </c>
      <c r="C195" t="n">
        <v>93</v>
      </c>
      <c r="D195" t="n">
        <v>89</v>
      </c>
      <c r="E195" t="n">
        <v>15597.37</v>
      </c>
      <c r="F195" t="n">
        <v>2</v>
      </c>
      <c r="G195" t="n">
        <v>89</v>
      </c>
      <c r="H195" t="n">
        <v>1202.1</v>
      </c>
      <c r="I195" t="n">
        <v>92</v>
      </c>
      <c r="J195" t="n">
        <v>373</v>
      </c>
    </row>
    <row r="196">
      <c r="A196" s="19" t="n">
        <v>42948</v>
      </c>
      <c r="B196" t="inlineStr">
        <is>
          <t>MA</t>
        </is>
      </c>
      <c r="C196" t="n">
        <v>40</v>
      </c>
      <c r="D196" t="n">
        <v>38</v>
      </c>
      <c r="E196" t="n">
        <v>7625.94</v>
      </c>
      <c r="F196" t="n">
        <v>2</v>
      </c>
      <c r="G196" t="n">
        <v>38</v>
      </c>
      <c r="H196" t="n">
        <v>728.58</v>
      </c>
      <c r="I196" t="n">
        <v>40</v>
      </c>
      <c r="J196" t="n">
        <v>148</v>
      </c>
    </row>
    <row r="197">
      <c r="A197" s="19" t="n">
        <v>42948</v>
      </c>
      <c r="B197" t="inlineStr">
        <is>
          <t>MG</t>
        </is>
      </c>
      <c r="C197" t="n">
        <v>469</v>
      </c>
      <c r="D197" t="n">
        <v>459</v>
      </c>
      <c r="E197" t="n">
        <v>68994.53</v>
      </c>
      <c r="F197" t="n">
        <v>11</v>
      </c>
      <c r="G197" t="n">
        <v>459</v>
      </c>
      <c r="H197" t="n">
        <v>5051.95</v>
      </c>
      <c r="I197" t="n">
        <v>464</v>
      </c>
      <c r="J197" t="n">
        <v>1988</v>
      </c>
    </row>
    <row r="198">
      <c r="A198" s="19" t="n">
        <v>42948</v>
      </c>
      <c r="B198" t="inlineStr">
        <is>
          <t>MS</t>
        </is>
      </c>
      <c r="C198" t="n">
        <v>24</v>
      </c>
      <c r="D198" t="n">
        <v>24</v>
      </c>
      <c r="E198" t="n">
        <v>4468.64</v>
      </c>
      <c r="F198" t="n">
        <v>0</v>
      </c>
      <c r="G198" t="n">
        <v>24</v>
      </c>
      <c r="H198" t="n">
        <v>321.69</v>
      </c>
      <c r="I198" t="n">
        <v>23</v>
      </c>
      <c r="J198" t="n">
        <v>95</v>
      </c>
    </row>
    <row r="199">
      <c r="A199" s="19" t="n">
        <v>42948</v>
      </c>
      <c r="B199" t="inlineStr">
        <is>
          <t>MT</t>
        </is>
      </c>
      <c r="C199" t="n">
        <v>38</v>
      </c>
      <c r="D199" t="n">
        <v>38</v>
      </c>
      <c r="E199" t="n">
        <v>7831.89</v>
      </c>
      <c r="F199" t="n">
        <v>0</v>
      </c>
      <c r="G199" t="n">
        <v>38</v>
      </c>
      <c r="H199" t="n">
        <v>591.49</v>
      </c>
      <c r="I199" t="n">
        <v>36</v>
      </c>
      <c r="J199" t="n">
        <v>144</v>
      </c>
    </row>
    <row r="200">
      <c r="A200" s="19" t="n">
        <v>42948</v>
      </c>
      <c r="B200" t="inlineStr">
        <is>
          <t>PA</t>
        </is>
      </c>
      <c r="C200" t="n">
        <v>60</v>
      </c>
      <c r="D200" t="n">
        <v>57</v>
      </c>
      <c r="E200" t="n">
        <v>17119.1</v>
      </c>
      <c r="F200" t="n">
        <v>0</v>
      </c>
      <c r="G200" t="n">
        <v>57</v>
      </c>
      <c r="H200" t="n">
        <v>988.0599999999999</v>
      </c>
      <c r="I200" t="n">
        <v>60</v>
      </c>
      <c r="J200" t="n">
        <v>242</v>
      </c>
    </row>
    <row r="201">
      <c r="A201" s="19" t="n">
        <v>42948</v>
      </c>
      <c r="B201" t="inlineStr">
        <is>
          <t>PB</t>
        </is>
      </c>
      <c r="C201" t="n">
        <v>16</v>
      </c>
      <c r="D201" t="n">
        <v>16</v>
      </c>
      <c r="E201" t="n">
        <v>3053.11</v>
      </c>
      <c r="F201" t="n">
        <v>1</v>
      </c>
      <c r="G201" t="n">
        <v>16</v>
      </c>
      <c r="H201" t="n">
        <v>303.18</v>
      </c>
      <c r="I201" t="n">
        <v>16</v>
      </c>
      <c r="J201" t="n">
        <v>72</v>
      </c>
    </row>
    <row r="202">
      <c r="A202" s="19" t="n">
        <v>42948</v>
      </c>
      <c r="B202" t="inlineStr">
        <is>
          <t>PE</t>
        </is>
      </c>
      <c r="C202" t="n">
        <v>85</v>
      </c>
      <c r="D202" t="n">
        <v>83</v>
      </c>
      <c r="E202" t="n">
        <v>15449.9</v>
      </c>
      <c r="F202" t="n">
        <v>12</v>
      </c>
      <c r="G202" t="n">
        <v>83</v>
      </c>
      <c r="H202" t="n">
        <v>1801.2</v>
      </c>
      <c r="I202" t="n">
        <v>85</v>
      </c>
      <c r="J202" t="n">
        <v>325</v>
      </c>
    </row>
    <row r="203">
      <c r="A203" s="19" t="n">
        <v>42948</v>
      </c>
      <c r="B203" t="inlineStr">
        <is>
          <t>PI</t>
        </is>
      </c>
      <c r="C203" t="n">
        <v>22</v>
      </c>
      <c r="D203" t="n">
        <v>20</v>
      </c>
      <c r="E203" t="n">
        <v>5290.71</v>
      </c>
      <c r="F203" t="n">
        <v>0</v>
      </c>
      <c r="G203" t="n">
        <v>20</v>
      </c>
      <c r="H203" t="n">
        <v>342.02</v>
      </c>
      <c r="I203" t="n">
        <v>22</v>
      </c>
      <c r="J203" t="n">
        <v>83</v>
      </c>
    </row>
    <row r="204">
      <c r="A204" s="19" t="n">
        <v>42948</v>
      </c>
      <c r="B204" t="inlineStr">
        <is>
          <t>PR</t>
        </is>
      </c>
      <c r="C204" t="n">
        <v>223</v>
      </c>
      <c r="D204" t="n">
        <v>220</v>
      </c>
      <c r="E204" t="n">
        <v>33311.7</v>
      </c>
      <c r="F204" t="n">
        <v>0</v>
      </c>
      <c r="G204" t="n">
        <v>220</v>
      </c>
      <c r="H204" t="n">
        <v>2170.77</v>
      </c>
      <c r="I204" t="n">
        <v>222</v>
      </c>
      <c r="J204" t="n">
        <v>974</v>
      </c>
    </row>
    <row r="205">
      <c r="A205" s="19" t="n">
        <v>42948</v>
      </c>
      <c r="B205" t="inlineStr">
        <is>
          <t>RJ</t>
        </is>
      </c>
      <c r="C205" t="n">
        <v>562</v>
      </c>
      <c r="D205" t="n">
        <v>537</v>
      </c>
      <c r="E205" t="n">
        <v>88279.28</v>
      </c>
      <c r="F205" t="n">
        <v>16</v>
      </c>
      <c r="G205" t="n">
        <v>537</v>
      </c>
      <c r="H205" t="n">
        <v>6678.38</v>
      </c>
      <c r="I205" t="n">
        <v>555</v>
      </c>
      <c r="J205" t="n">
        <v>2325</v>
      </c>
    </row>
    <row r="206">
      <c r="A206" s="19" t="n">
        <v>42948</v>
      </c>
      <c r="B206" t="inlineStr">
        <is>
          <t>RN</t>
        </is>
      </c>
      <c r="C206" t="n">
        <v>20</v>
      </c>
      <c r="D206" t="n">
        <v>20</v>
      </c>
      <c r="E206" t="n">
        <v>3273.35</v>
      </c>
      <c r="F206" t="n">
        <v>2</v>
      </c>
      <c r="G206" t="n">
        <v>20</v>
      </c>
      <c r="H206" t="n">
        <v>391.76</v>
      </c>
      <c r="I206" t="n">
        <v>20</v>
      </c>
      <c r="J206" t="n">
        <v>91</v>
      </c>
    </row>
    <row r="207">
      <c r="A207" s="19" t="n">
        <v>42948</v>
      </c>
      <c r="B207" t="inlineStr">
        <is>
          <t>RO</t>
        </is>
      </c>
      <c r="C207" t="n">
        <v>14</v>
      </c>
      <c r="D207" t="n">
        <v>14</v>
      </c>
      <c r="E207" t="n">
        <v>2815.97</v>
      </c>
      <c r="F207" t="n">
        <v>0</v>
      </c>
      <c r="G207" t="n">
        <v>14</v>
      </c>
      <c r="H207" t="n">
        <v>246.88</v>
      </c>
      <c r="I207" t="n">
        <v>14</v>
      </c>
      <c r="J207" t="n">
        <v>61</v>
      </c>
    </row>
    <row r="208">
      <c r="A208" s="19" t="n">
        <v>42948</v>
      </c>
      <c r="B208" t="inlineStr">
        <is>
          <t>RS</t>
        </is>
      </c>
      <c r="C208" t="n">
        <v>299</v>
      </c>
      <c r="D208" t="n">
        <v>296</v>
      </c>
      <c r="E208" t="n">
        <v>39900.39</v>
      </c>
      <c r="F208" t="n">
        <v>22</v>
      </c>
      <c r="G208" t="n">
        <v>296</v>
      </c>
      <c r="H208" t="n">
        <v>4501.1</v>
      </c>
      <c r="I208" t="n">
        <v>298</v>
      </c>
      <c r="J208" t="n">
        <v>1258</v>
      </c>
    </row>
    <row r="209">
      <c r="A209" s="19" t="n">
        <v>42948</v>
      </c>
      <c r="B209" t="inlineStr">
        <is>
          <t>SC</t>
        </is>
      </c>
      <c r="C209" t="n">
        <v>159</v>
      </c>
      <c r="D209" t="n">
        <v>152</v>
      </c>
      <c r="E209" t="n">
        <v>25505.67</v>
      </c>
      <c r="F209" t="n">
        <v>4</v>
      </c>
      <c r="G209" t="n">
        <v>152</v>
      </c>
      <c r="H209" t="n">
        <v>2002.41</v>
      </c>
      <c r="I209" t="n">
        <v>159</v>
      </c>
      <c r="J209" t="n">
        <v>654</v>
      </c>
    </row>
    <row r="210">
      <c r="A210" s="19" t="n">
        <v>42948</v>
      </c>
      <c r="B210" t="inlineStr">
        <is>
          <t>SE</t>
        </is>
      </c>
      <c r="C210" t="n">
        <v>20</v>
      </c>
      <c r="D210" t="n">
        <v>19</v>
      </c>
      <c r="E210" t="n">
        <v>4329.04</v>
      </c>
      <c r="F210" t="n">
        <v>2</v>
      </c>
      <c r="G210" t="n">
        <v>19</v>
      </c>
      <c r="H210" t="n">
        <v>335.56</v>
      </c>
      <c r="I210" t="n">
        <v>20</v>
      </c>
      <c r="J210" t="n">
        <v>82</v>
      </c>
    </row>
    <row r="211">
      <c r="A211" s="19" t="n">
        <v>42948</v>
      </c>
      <c r="B211" t="inlineStr">
        <is>
          <t>SP</t>
        </is>
      </c>
      <c r="C211" t="n">
        <v>1729</v>
      </c>
      <c r="D211" t="n">
        <v>1665</v>
      </c>
      <c r="E211" t="n">
        <v>219217.35</v>
      </c>
      <c r="F211" t="n">
        <v>34</v>
      </c>
      <c r="G211" t="n">
        <v>1665</v>
      </c>
      <c r="H211" t="n">
        <v>12422.45</v>
      </c>
      <c r="I211" t="n">
        <v>1716</v>
      </c>
      <c r="J211" t="n">
        <v>7369</v>
      </c>
    </row>
    <row r="212">
      <c r="A212" s="19" t="n">
        <v>42948</v>
      </c>
      <c r="B212" t="inlineStr">
        <is>
          <t>TO</t>
        </is>
      </c>
      <c r="C212" t="n">
        <v>15</v>
      </c>
      <c r="D212" t="n">
        <v>15</v>
      </c>
      <c r="E212" t="n">
        <v>2518.52</v>
      </c>
      <c r="F212" t="n">
        <v>0</v>
      </c>
      <c r="G212" t="n">
        <v>15</v>
      </c>
      <c r="H212" t="n">
        <v>212.94</v>
      </c>
      <c r="I212" t="n">
        <v>15</v>
      </c>
      <c r="J212" t="n">
        <v>73</v>
      </c>
    </row>
    <row r="213">
      <c r="A213" s="19" t="n">
        <v>42979</v>
      </c>
      <c r="B213" t="inlineStr">
        <is>
          <t>AC</t>
        </is>
      </c>
      <c r="C213" t="n">
        <v>5</v>
      </c>
      <c r="D213" t="n">
        <v>5</v>
      </c>
      <c r="E213" t="n">
        <v>2029.23</v>
      </c>
      <c r="F213" t="n">
        <v>1</v>
      </c>
      <c r="G213" t="n">
        <v>5</v>
      </c>
      <c r="H213" t="n">
        <v>133.49</v>
      </c>
      <c r="I213" t="n">
        <v>5</v>
      </c>
      <c r="J213" t="n">
        <v>20</v>
      </c>
    </row>
    <row r="214">
      <c r="A214" s="19" t="n">
        <v>42979</v>
      </c>
      <c r="B214" t="inlineStr">
        <is>
          <t>AL</t>
        </is>
      </c>
      <c r="C214" t="n">
        <v>20</v>
      </c>
      <c r="D214" t="n">
        <v>19</v>
      </c>
      <c r="E214" t="n">
        <v>5093.78</v>
      </c>
      <c r="F214" t="n">
        <v>8</v>
      </c>
      <c r="G214" t="n">
        <v>19</v>
      </c>
      <c r="H214" t="n">
        <v>595.79</v>
      </c>
      <c r="I214" t="n">
        <v>20</v>
      </c>
      <c r="J214" t="n">
        <v>69</v>
      </c>
    </row>
    <row r="215">
      <c r="A215" s="19" t="n">
        <v>42979</v>
      </c>
      <c r="B215" t="inlineStr">
        <is>
          <t>AM</t>
        </is>
      </c>
      <c r="C215" t="n">
        <v>9</v>
      </c>
      <c r="D215" t="n">
        <v>9</v>
      </c>
      <c r="E215" t="n">
        <v>1518.44</v>
      </c>
      <c r="F215" t="n">
        <v>0</v>
      </c>
      <c r="G215" t="n">
        <v>9</v>
      </c>
      <c r="H215" t="n">
        <v>218.31</v>
      </c>
      <c r="I215" t="n">
        <v>8</v>
      </c>
      <c r="J215" t="n">
        <v>33</v>
      </c>
    </row>
    <row r="216">
      <c r="A216" s="19" t="n">
        <v>42979</v>
      </c>
      <c r="B216" t="inlineStr">
        <is>
          <t>AP</t>
        </is>
      </c>
      <c r="C216" t="n">
        <v>2</v>
      </c>
      <c r="D216" t="n">
        <v>2</v>
      </c>
      <c r="E216" t="n">
        <v>499.22</v>
      </c>
      <c r="F216" t="n">
        <v>0</v>
      </c>
      <c r="G216" t="n">
        <v>2</v>
      </c>
      <c r="H216" t="n">
        <v>39.24</v>
      </c>
      <c r="I216" t="n">
        <v>2</v>
      </c>
      <c r="J216" t="n">
        <v>10</v>
      </c>
    </row>
    <row r="217">
      <c r="A217" s="19" t="n">
        <v>42979</v>
      </c>
      <c r="B217" t="inlineStr">
        <is>
          <t>BA</t>
        </is>
      </c>
      <c r="C217" t="n">
        <v>170</v>
      </c>
      <c r="D217" t="n">
        <v>167</v>
      </c>
      <c r="E217" t="n">
        <v>27981.32</v>
      </c>
      <c r="F217" t="n">
        <v>28</v>
      </c>
      <c r="G217" t="n">
        <v>167</v>
      </c>
      <c r="H217" t="n">
        <v>3192.04</v>
      </c>
      <c r="I217" t="n">
        <v>168</v>
      </c>
      <c r="J217" t="n">
        <v>670</v>
      </c>
    </row>
    <row r="218">
      <c r="A218" s="19" t="n">
        <v>42979</v>
      </c>
      <c r="B218" t="inlineStr">
        <is>
          <t>CE</t>
        </is>
      </c>
      <c r="C218" t="n">
        <v>77</v>
      </c>
      <c r="D218" t="n">
        <v>74</v>
      </c>
      <c r="E218" t="n">
        <v>19287</v>
      </c>
      <c r="F218" t="n">
        <v>2</v>
      </c>
      <c r="G218" t="n">
        <v>74</v>
      </c>
      <c r="H218" t="n">
        <v>1134.38</v>
      </c>
      <c r="I218" t="n">
        <v>77</v>
      </c>
      <c r="J218" t="n">
        <v>313</v>
      </c>
    </row>
    <row r="219">
      <c r="A219" s="19" t="n">
        <v>42979</v>
      </c>
      <c r="B219" t="inlineStr">
        <is>
          <t>DF</t>
        </is>
      </c>
      <c r="C219" t="n">
        <v>97</v>
      </c>
      <c r="D219" t="n">
        <v>94</v>
      </c>
      <c r="E219" t="n">
        <v>15362.93</v>
      </c>
      <c r="F219" t="n">
        <v>7</v>
      </c>
      <c r="G219" t="n">
        <v>94</v>
      </c>
      <c r="H219" t="n">
        <v>1211.37</v>
      </c>
      <c r="I219" t="n">
        <v>97</v>
      </c>
      <c r="J219" t="n">
        <v>394</v>
      </c>
    </row>
    <row r="220">
      <c r="A220" s="19" t="n">
        <v>42979</v>
      </c>
      <c r="B220" t="inlineStr">
        <is>
          <t>ES</t>
        </is>
      </c>
      <c r="C220" t="n">
        <v>93</v>
      </c>
      <c r="D220" t="n">
        <v>93</v>
      </c>
      <c r="E220" t="n">
        <v>13314.19</v>
      </c>
      <c r="F220" t="n">
        <v>4</v>
      </c>
      <c r="G220" t="n">
        <v>93</v>
      </c>
      <c r="H220" t="n">
        <v>1190.1</v>
      </c>
      <c r="I220" t="n">
        <v>92</v>
      </c>
      <c r="J220" t="n">
        <v>386</v>
      </c>
    </row>
    <row r="221">
      <c r="A221" s="19" t="n">
        <v>42979</v>
      </c>
      <c r="B221" t="inlineStr">
        <is>
          <t>GO</t>
        </is>
      </c>
      <c r="C221" t="n">
        <v>88</v>
      </c>
      <c r="D221" t="n">
        <v>84</v>
      </c>
      <c r="E221" t="n">
        <v>15488.32</v>
      </c>
      <c r="F221" t="n">
        <v>2</v>
      </c>
      <c r="G221" t="n">
        <v>84</v>
      </c>
      <c r="H221" t="n">
        <v>1157.2</v>
      </c>
      <c r="I221" t="n">
        <v>88</v>
      </c>
      <c r="J221" t="n">
        <v>363</v>
      </c>
    </row>
    <row r="222">
      <c r="A222" s="19" t="n">
        <v>42979</v>
      </c>
      <c r="B222" t="inlineStr">
        <is>
          <t>MA</t>
        </is>
      </c>
      <c r="C222" t="n">
        <v>42</v>
      </c>
      <c r="D222" t="n">
        <v>41</v>
      </c>
      <c r="E222" t="n">
        <v>11223.69</v>
      </c>
      <c r="F222" t="n">
        <v>3</v>
      </c>
      <c r="G222" t="n">
        <v>41</v>
      </c>
      <c r="H222" t="n">
        <v>723.99</v>
      </c>
      <c r="I222" t="n">
        <v>42</v>
      </c>
      <c r="J222" t="n">
        <v>176</v>
      </c>
    </row>
    <row r="223">
      <c r="A223" s="19" t="n">
        <v>42979</v>
      </c>
      <c r="B223" t="inlineStr">
        <is>
          <t>MG</t>
        </is>
      </c>
      <c r="C223" t="n">
        <v>507</v>
      </c>
      <c r="D223" t="n">
        <v>493</v>
      </c>
      <c r="E223" t="n">
        <v>82843.49000000001</v>
      </c>
      <c r="F223" t="n">
        <v>5</v>
      </c>
      <c r="G223" t="n">
        <v>493</v>
      </c>
      <c r="H223" t="n">
        <v>5025.86</v>
      </c>
      <c r="I223" t="n">
        <v>505</v>
      </c>
      <c r="J223" t="n">
        <v>2169</v>
      </c>
    </row>
    <row r="224">
      <c r="A224" s="19" t="n">
        <v>42979</v>
      </c>
      <c r="B224" t="inlineStr">
        <is>
          <t>MS</t>
        </is>
      </c>
      <c r="C224" t="n">
        <v>33</v>
      </c>
      <c r="D224" t="n">
        <v>32</v>
      </c>
      <c r="E224" t="n">
        <v>5569.48</v>
      </c>
      <c r="F224" t="n">
        <v>0</v>
      </c>
      <c r="G224" t="n">
        <v>32</v>
      </c>
      <c r="H224" t="n">
        <v>381.41</v>
      </c>
      <c r="I224" t="n">
        <v>33</v>
      </c>
      <c r="J224" t="n">
        <v>130</v>
      </c>
    </row>
    <row r="225">
      <c r="A225" s="19" t="n">
        <v>42979</v>
      </c>
      <c r="B225" t="inlineStr">
        <is>
          <t>MT</t>
        </is>
      </c>
      <c r="C225" t="n">
        <v>35</v>
      </c>
      <c r="D225" t="n">
        <v>34</v>
      </c>
      <c r="E225" t="n">
        <v>8167.22</v>
      </c>
      <c r="F225" t="n">
        <v>2</v>
      </c>
      <c r="G225" t="n">
        <v>34</v>
      </c>
      <c r="H225" t="n">
        <v>546.78</v>
      </c>
      <c r="I225" t="n">
        <v>35</v>
      </c>
      <c r="J225" t="n">
        <v>139</v>
      </c>
    </row>
    <row r="226">
      <c r="A226" s="19" t="n">
        <v>42979</v>
      </c>
      <c r="B226" t="inlineStr">
        <is>
          <t>PA</t>
        </is>
      </c>
      <c r="C226" t="n">
        <v>41</v>
      </c>
      <c r="D226" t="n">
        <v>41</v>
      </c>
      <c r="E226" t="n">
        <v>7731.74</v>
      </c>
      <c r="F226" t="n">
        <v>5</v>
      </c>
      <c r="G226" t="n">
        <v>41</v>
      </c>
      <c r="H226" t="n">
        <v>992.47</v>
      </c>
      <c r="I226" t="n">
        <v>41</v>
      </c>
      <c r="J226" t="n">
        <v>171</v>
      </c>
    </row>
    <row r="227">
      <c r="A227" s="19" t="n">
        <v>42979</v>
      </c>
      <c r="B227" t="inlineStr">
        <is>
          <t>PB</t>
        </is>
      </c>
      <c r="C227" t="n">
        <v>29</v>
      </c>
      <c r="D227" t="n">
        <v>25</v>
      </c>
      <c r="E227" t="n">
        <v>6284.27</v>
      </c>
      <c r="F227" t="n">
        <v>7</v>
      </c>
      <c r="G227" t="n">
        <v>25</v>
      </c>
      <c r="H227" t="n">
        <v>663.2</v>
      </c>
      <c r="I227" t="n">
        <v>28</v>
      </c>
      <c r="J227" t="n">
        <v>109</v>
      </c>
    </row>
    <row r="228">
      <c r="A228" s="19" t="n">
        <v>42979</v>
      </c>
      <c r="B228" t="inlineStr">
        <is>
          <t>PE</t>
        </is>
      </c>
      <c r="C228" t="n">
        <v>76</v>
      </c>
      <c r="D228" t="n">
        <v>74</v>
      </c>
      <c r="E228" t="n">
        <v>15529.6</v>
      </c>
      <c r="F228" t="n">
        <v>6</v>
      </c>
      <c r="G228" t="n">
        <v>74</v>
      </c>
      <c r="H228" t="n">
        <v>1219.7</v>
      </c>
      <c r="I228" t="n">
        <v>75</v>
      </c>
      <c r="J228" t="n">
        <v>302</v>
      </c>
    </row>
    <row r="229">
      <c r="A229" s="19" t="n">
        <v>42979</v>
      </c>
      <c r="B229" t="inlineStr">
        <is>
          <t>PI</t>
        </is>
      </c>
      <c r="C229" t="n">
        <v>23</v>
      </c>
      <c r="D229" t="n">
        <v>22</v>
      </c>
      <c r="E229" t="n">
        <v>3574.17</v>
      </c>
      <c r="F229" t="n">
        <v>1</v>
      </c>
      <c r="G229" t="n">
        <v>22</v>
      </c>
      <c r="H229" t="n">
        <v>366</v>
      </c>
      <c r="I229" t="n">
        <v>22</v>
      </c>
      <c r="J229" t="n">
        <v>87</v>
      </c>
    </row>
    <row r="230">
      <c r="A230" s="19" t="n">
        <v>42979</v>
      </c>
      <c r="B230" t="inlineStr">
        <is>
          <t>PR</t>
        </is>
      </c>
      <c r="C230" t="n">
        <v>183</v>
      </c>
      <c r="D230" t="n">
        <v>176</v>
      </c>
      <c r="E230" t="n">
        <v>24766.9</v>
      </c>
      <c r="F230" t="n">
        <v>1</v>
      </c>
      <c r="G230" t="n">
        <v>176</v>
      </c>
      <c r="H230" t="n">
        <v>2043.11</v>
      </c>
      <c r="I230" t="n">
        <v>181</v>
      </c>
      <c r="J230" t="n">
        <v>750</v>
      </c>
    </row>
    <row r="231">
      <c r="A231" s="19" t="n">
        <v>42979</v>
      </c>
      <c r="B231" t="inlineStr">
        <is>
          <t>RJ</t>
        </is>
      </c>
      <c r="C231" t="n">
        <v>609</v>
      </c>
      <c r="D231" t="n">
        <v>591</v>
      </c>
      <c r="E231" t="n">
        <v>106697.15</v>
      </c>
      <c r="F231" t="n">
        <v>30</v>
      </c>
      <c r="G231" t="n">
        <v>591</v>
      </c>
      <c r="H231" t="n">
        <v>7637.95</v>
      </c>
      <c r="I231" t="n">
        <v>602</v>
      </c>
      <c r="J231" t="n">
        <v>2523</v>
      </c>
    </row>
    <row r="232">
      <c r="A232" s="19" t="n">
        <v>42979</v>
      </c>
      <c r="B232" t="inlineStr">
        <is>
          <t>RN</t>
        </is>
      </c>
      <c r="C232" t="n">
        <v>24</v>
      </c>
      <c r="D232" t="n">
        <v>23</v>
      </c>
      <c r="E232" t="n">
        <v>4019.86</v>
      </c>
      <c r="F232" t="n">
        <v>3</v>
      </c>
      <c r="G232" t="n">
        <v>23</v>
      </c>
      <c r="H232" t="n">
        <v>496.64</v>
      </c>
      <c r="I232" t="n">
        <v>24</v>
      </c>
      <c r="J232" t="n">
        <v>87</v>
      </c>
    </row>
    <row r="233">
      <c r="A233" s="19" t="n">
        <v>42979</v>
      </c>
      <c r="B233" t="inlineStr">
        <is>
          <t>RO</t>
        </is>
      </c>
      <c r="C233" t="n">
        <v>16</v>
      </c>
      <c r="D233" t="n">
        <v>16</v>
      </c>
      <c r="E233" t="n">
        <v>4938.28</v>
      </c>
      <c r="F233" t="n">
        <v>0</v>
      </c>
      <c r="G233" t="n">
        <v>16</v>
      </c>
      <c r="H233" t="n">
        <v>280.36</v>
      </c>
      <c r="I233" t="n">
        <v>16</v>
      </c>
      <c r="J233" t="n">
        <v>67</v>
      </c>
    </row>
    <row r="234">
      <c r="A234" s="19" t="n">
        <v>42979</v>
      </c>
      <c r="B234" t="inlineStr">
        <is>
          <t>RR</t>
        </is>
      </c>
      <c r="C234" t="n">
        <v>1</v>
      </c>
      <c r="D234" t="n">
        <v>1</v>
      </c>
      <c r="E234" t="n">
        <v>65.37</v>
      </c>
      <c r="F234" t="n">
        <v>0</v>
      </c>
      <c r="G234" t="n">
        <v>1</v>
      </c>
      <c r="H234" t="n">
        <v>17.04</v>
      </c>
      <c r="I234" t="n">
        <v>1</v>
      </c>
      <c r="J234" t="n">
        <v>4</v>
      </c>
    </row>
    <row r="235">
      <c r="A235" s="19" t="n">
        <v>42979</v>
      </c>
      <c r="B235" t="inlineStr">
        <is>
          <t>RS</t>
        </is>
      </c>
      <c r="C235" t="n">
        <v>278</v>
      </c>
      <c r="D235" t="n">
        <v>273</v>
      </c>
      <c r="E235" t="n">
        <v>43233.6</v>
      </c>
      <c r="F235" t="n">
        <v>5</v>
      </c>
      <c r="G235" t="n">
        <v>273</v>
      </c>
      <c r="H235" t="n">
        <v>3800.52</v>
      </c>
      <c r="I235" t="n">
        <v>278</v>
      </c>
      <c r="J235" t="n">
        <v>1192</v>
      </c>
    </row>
    <row r="236">
      <c r="A236" s="19" t="n">
        <v>42979</v>
      </c>
      <c r="B236" t="inlineStr">
        <is>
          <t>SC</t>
        </is>
      </c>
      <c r="C236" t="n">
        <v>156</v>
      </c>
      <c r="D236" t="n">
        <v>153</v>
      </c>
      <c r="E236" t="n">
        <v>29150.07</v>
      </c>
      <c r="F236" t="n">
        <v>11</v>
      </c>
      <c r="G236" t="n">
        <v>153</v>
      </c>
      <c r="H236" t="n">
        <v>2201.98</v>
      </c>
      <c r="I236" t="n">
        <v>156</v>
      </c>
      <c r="J236" t="n">
        <v>652</v>
      </c>
    </row>
    <row r="237">
      <c r="A237" s="19" t="n">
        <v>42979</v>
      </c>
      <c r="B237" t="inlineStr">
        <is>
          <t>SE</t>
        </is>
      </c>
      <c r="C237" t="n">
        <v>16</v>
      </c>
      <c r="D237" t="n">
        <v>16</v>
      </c>
      <c r="E237" t="n">
        <v>3541.49</v>
      </c>
      <c r="F237" t="n">
        <v>2</v>
      </c>
      <c r="G237" t="n">
        <v>16</v>
      </c>
      <c r="H237" t="n">
        <v>328.84</v>
      </c>
      <c r="I237" t="n">
        <v>16</v>
      </c>
      <c r="J237" t="n">
        <v>63</v>
      </c>
    </row>
    <row r="238">
      <c r="A238" s="19" t="n">
        <v>42979</v>
      </c>
      <c r="B238" t="inlineStr">
        <is>
          <t>SP</t>
        </is>
      </c>
      <c r="C238" t="n">
        <v>1638</v>
      </c>
      <c r="D238" t="n">
        <v>1576</v>
      </c>
      <c r="E238" t="n">
        <v>238766.96</v>
      </c>
      <c r="F238" t="n">
        <v>49</v>
      </c>
      <c r="G238" t="n">
        <v>1576</v>
      </c>
      <c r="H238" t="n">
        <v>13273.22</v>
      </c>
      <c r="I238" t="n">
        <v>1622</v>
      </c>
      <c r="J238" t="n">
        <v>6853</v>
      </c>
    </row>
    <row r="239">
      <c r="A239" s="19" t="n">
        <v>42979</v>
      </c>
      <c r="B239" t="inlineStr">
        <is>
          <t>TO</t>
        </is>
      </c>
      <c r="C239" t="n">
        <v>17</v>
      </c>
      <c r="D239" t="n">
        <v>16</v>
      </c>
      <c r="E239" t="n">
        <v>4399.72</v>
      </c>
      <c r="F239" t="n">
        <v>0</v>
      </c>
      <c r="G239" t="n">
        <v>16</v>
      </c>
      <c r="H239" t="n">
        <v>310.85</v>
      </c>
      <c r="I239" t="n">
        <v>17</v>
      </c>
      <c r="J239" t="n">
        <v>72</v>
      </c>
    </row>
    <row r="240">
      <c r="A240" s="19" t="n">
        <v>43009</v>
      </c>
      <c r="B240" t="inlineStr">
        <is>
          <t>AC</t>
        </is>
      </c>
      <c r="C240" t="n">
        <v>6</v>
      </c>
      <c r="D240" t="n">
        <v>5</v>
      </c>
      <c r="E240" t="n">
        <v>863.8</v>
      </c>
      <c r="F240" t="n">
        <v>0</v>
      </c>
      <c r="G240" t="n">
        <v>5</v>
      </c>
      <c r="H240" t="n">
        <v>65.72</v>
      </c>
      <c r="I240" t="n">
        <v>6</v>
      </c>
      <c r="J240" t="n">
        <v>20</v>
      </c>
    </row>
    <row r="241">
      <c r="A241" s="19" t="n">
        <v>43009</v>
      </c>
      <c r="B241" t="inlineStr">
        <is>
          <t>AL</t>
        </is>
      </c>
      <c r="C241" t="n">
        <v>28</v>
      </c>
      <c r="D241" t="n">
        <v>28</v>
      </c>
      <c r="E241" t="n">
        <v>6341.58</v>
      </c>
      <c r="F241" t="n">
        <v>2</v>
      </c>
      <c r="G241" t="n">
        <v>28</v>
      </c>
      <c r="H241" t="n">
        <v>570.6799999999999</v>
      </c>
      <c r="I241" t="n">
        <v>28</v>
      </c>
      <c r="J241" t="n">
        <v>116</v>
      </c>
    </row>
    <row r="242">
      <c r="A242" s="19" t="n">
        <v>43009</v>
      </c>
      <c r="B242" t="inlineStr">
        <is>
          <t>AM</t>
        </is>
      </c>
      <c r="C242" t="n">
        <v>3</v>
      </c>
      <c r="D242" t="n">
        <v>3</v>
      </c>
      <c r="E242" t="n">
        <v>164.56</v>
      </c>
      <c r="F242" t="n">
        <v>0</v>
      </c>
      <c r="G242" t="n">
        <v>3</v>
      </c>
      <c r="H242" t="n">
        <v>58.87</v>
      </c>
      <c r="I242" t="n">
        <v>3</v>
      </c>
      <c r="J242" t="n">
        <v>15</v>
      </c>
    </row>
    <row r="243">
      <c r="A243" s="19" t="n">
        <v>43009</v>
      </c>
      <c r="B243" t="inlineStr">
        <is>
          <t>AP</t>
        </is>
      </c>
      <c r="C243" t="n">
        <v>3</v>
      </c>
      <c r="D243" t="n">
        <v>3</v>
      </c>
      <c r="E243" t="n">
        <v>1696.74</v>
      </c>
      <c r="F243" t="n">
        <v>0</v>
      </c>
      <c r="G243" t="n">
        <v>3</v>
      </c>
      <c r="H243" t="n">
        <v>56.07</v>
      </c>
      <c r="I243" t="n">
        <v>3</v>
      </c>
      <c r="J243" t="n">
        <v>13</v>
      </c>
    </row>
    <row r="244">
      <c r="A244" s="19" t="n">
        <v>43009</v>
      </c>
      <c r="B244" t="inlineStr">
        <is>
          <t>BA</t>
        </is>
      </c>
      <c r="C244" t="n">
        <v>166</v>
      </c>
      <c r="D244" t="n">
        <v>158</v>
      </c>
      <c r="E244" t="n">
        <v>27614.2</v>
      </c>
      <c r="F244" t="n">
        <v>16</v>
      </c>
      <c r="G244" t="n">
        <v>158</v>
      </c>
      <c r="H244" t="n">
        <v>2878.87</v>
      </c>
      <c r="I244" t="n">
        <v>165</v>
      </c>
      <c r="J244" t="n">
        <v>630</v>
      </c>
    </row>
    <row r="245">
      <c r="A245" s="19" t="n">
        <v>43009</v>
      </c>
      <c r="B245" t="inlineStr">
        <is>
          <t>CE</t>
        </is>
      </c>
      <c r="C245" t="n">
        <v>66</v>
      </c>
      <c r="D245" t="n">
        <v>63</v>
      </c>
      <c r="E245" t="n">
        <v>14338.59</v>
      </c>
      <c r="F245" t="n">
        <v>3</v>
      </c>
      <c r="G245" t="n">
        <v>63</v>
      </c>
      <c r="H245" t="n">
        <v>1236.43</v>
      </c>
      <c r="I245" t="n">
        <v>65</v>
      </c>
      <c r="J245" t="n">
        <v>247</v>
      </c>
    </row>
    <row r="246">
      <c r="A246" s="19" t="n">
        <v>43009</v>
      </c>
      <c r="B246" t="inlineStr">
        <is>
          <t>DF</t>
        </is>
      </c>
      <c r="C246" t="n">
        <v>98</v>
      </c>
      <c r="D246" t="n">
        <v>92</v>
      </c>
      <c r="E246" t="n">
        <v>14731.5</v>
      </c>
      <c r="F246" t="n">
        <v>3</v>
      </c>
      <c r="G246" t="n">
        <v>92</v>
      </c>
      <c r="H246" t="n">
        <v>1151</v>
      </c>
      <c r="I246" t="n">
        <v>98</v>
      </c>
      <c r="J246" t="n">
        <v>381</v>
      </c>
    </row>
    <row r="247">
      <c r="A247" s="19" t="n">
        <v>43009</v>
      </c>
      <c r="B247" t="inlineStr">
        <is>
          <t>ES</t>
        </is>
      </c>
      <c r="C247" t="n">
        <v>100</v>
      </c>
      <c r="D247" t="n">
        <v>100</v>
      </c>
      <c r="E247" t="n">
        <v>12667.55</v>
      </c>
      <c r="F247" t="n">
        <v>5</v>
      </c>
      <c r="G247" t="n">
        <v>100</v>
      </c>
      <c r="H247" t="n">
        <v>1455.64</v>
      </c>
      <c r="I247" t="n">
        <v>100</v>
      </c>
      <c r="J247" t="n">
        <v>427</v>
      </c>
    </row>
    <row r="248">
      <c r="A248" s="19" t="n">
        <v>43009</v>
      </c>
      <c r="B248" t="inlineStr">
        <is>
          <t>GO</t>
        </is>
      </c>
      <c r="C248" t="n">
        <v>108</v>
      </c>
      <c r="D248" t="n">
        <v>106</v>
      </c>
      <c r="E248" t="n">
        <v>19277.69</v>
      </c>
      <c r="F248" t="n">
        <v>2</v>
      </c>
      <c r="G248" t="n">
        <v>106</v>
      </c>
      <c r="H248" t="n">
        <v>1507.76</v>
      </c>
      <c r="I248" t="n">
        <v>107</v>
      </c>
      <c r="J248" t="n">
        <v>462</v>
      </c>
    </row>
    <row r="249">
      <c r="A249" s="19" t="n">
        <v>43009</v>
      </c>
      <c r="B249" t="inlineStr">
        <is>
          <t>MA</t>
        </is>
      </c>
      <c r="C249" t="n">
        <v>48</v>
      </c>
      <c r="D249" t="n">
        <v>48</v>
      </c>
      <c r="E249" t="n">
        <v>12526.98</v>
      </c>
      <c r="F249" t="n">
        <v>12</v>
      </c>
      <c r="G249" t="n">
        <v>48</v>
      </c>
      <c r="H249" t="n">
        <v>1020.26</v>
      </c>
      <c r="I249" t="n">
        <v>48</v>
      </c>
      <c r="J249" t="n">
        <v>178</v>
      </c>
    </row>
    <row r="250">
      <c r="A250" s="19" t="n">
        <v>43009</v>
      </c>
      <c r="B250" t="inlineStr">
        <is>
          <t>MG</t>
        </is>
      </c>
      <c r="C250" t="n">
        <v>560</v>
      </c>
      <c r="D250" t="n">
        <v>542</v>
      </c>
      <c r="E250" t="n">
        <v>93049.17</v>
      </c>
      <c r="F250" t="n">
        <v>5</v>
      </c>
      <c r="G250" t="n">
        <v>542</v>
      </c>
      <c r="H250" t="n">
        <v>5651.76</v>
      </c>
      <c r="I250" t="n">
        <v>557</v>
      </c>
      <c r="J250" t="n">
        <v>2344</v>
      </c>
    </row>
    <row r="251">
      <c r="A251" s="19" t="n">
        <v>43009</v>
      </c>
      <c r="B251" t="inlineStr">
        <is>
          <t>MS</t>
        </is>
      </c>
      <c r="C251" t="n">
        <v>34</v>
      </c>
      <c r="D251" t="n">
        <v>33</v>
      </c>
      <c r="E251" t="n">
        <v>7301.77</v>
      </c>
      <c r="F251" t="n">
        <v>2</v>
      </c>
      <c r="G251" t="n">
        <v>33</v>
      </c>
      <c r="H251" t="n">
        <v>452.43</v>
      </c>
      <c r="I251" t="n">
        <v>34</v>
      </c>
      <c r="J251" t="n">
        <v>150</v>
      </c>
    </row>
    <row r="252">
      <c r="A252" s="19" t="n">
        <v>43009</v>
      </c>
      <c r="B252" t="inlineStr">
        <is>
          <t>MT</t>
        </is>
      </c>
      <c r="C252" t="n">
        <v>52</v>
      </c>
      <c r="D252" t="n">
        <v>50</v>
      </c>
      <c r="E252" t="n">
        <v>12892.88</v>
      </c>
      <c r="F252" t="n">
        <v>1</v>
      </c>
      <c r="G252" t="n">
        <v>50</v>
      </c>
      <c r="H252" t="n">
        <v>812.0700000000001</v>
      </c>
      <c r="I252" t="n">
        <v>52</v>
      </c>
      <c r="J252" t="n">
        <v>225</v>
      </c>
    </row>
    <row r="253">
      <c r="A253" s="19" t="n">
        <v>43009</v>
      </c>
      <c r="B253" t="inlineStr">
        <is>
          <t>PA</t>
        </is>
      </c>
      <c r="C253" t="n">
        <v>54</v>
      </c>
      <c r="D253" t="n">
        <v>52</v>
      </c>
      <c r="E253" t="n">
        <v>8721.809999999999</v>
      </c>
      <c r="F253" t="n">
        <v>3</v>
      </c>
      <c r="G253" t="n">
        <v>52</v>
      </c>
      <c r="H253" t="n">
        <v>1294.92</v>
      </c>
      <c r="I253" t="n">
        <v>54</v>
      </c>
      <c r="J253" t="n">
        <v>216</v>
      </c>
    </row>
    <row r="254">
      <c r="A254" s="19" t="n">
        <v>43009</v>
      </c>
      <c r="B254" t="inlineStr">
        <is>
          <t>PB</t>
        </is>
      </c>
      <c r="C254" t="n">
        <v>30</v>
      </c>
      <c r="D254" t="n">
        <v>28</v>
      </c>
      <c r="E254" t="n">
        <v>11515.49</v>
      </c>
      <c r="F254" t="n">
        <v>0</v>
      </c>
      <c r="G254" t="n">
        <v>28</v>
      </c>
      <c r="H254" t="n">
        <v>541.61</v>
      </c>
      <c r="I254" t="n">
        <v>29</v>
      </c>
      <c r="J254" t="n">
        <v>121</v>
      </c>
    </row>
    <row r="255">
      <c r="A255" s="19" t="n">
        <v>43009</v>
      </c>
      <c r="B255" t="inlineStr">
        <is>
          <t>PE</t>
        </is>
      </c>
      <c r="C255" t="n">
        <v>80</v>
      </c>
      <c r="D255" t="n">
        <v>77</v>
      </c>
      <c r="E255" t="n">
        <v>20097.25</v>
      </c>
      <c r="F255" t="n">
        <v>5</v>
      </c>
      <c r="G255" t="n">
        <v>77</v>
      </c>
      <c r="H255" t="n">
        <v>1366.69</v>
      </c>
      <c r="I255" t="n">
        <v>78</v>
      </c>
      <c r="J255" t="n">
        <v>333</v>
      </c>
    </row>
    <row r="256">
      <c r="A256" s="19" t="n">
        <v>43009</v>
      </c>
      <c r="B256" t="inlineStr">
        <is>
          <t>PI</t>
        </is>
      </c>
      <c r="C256" t="n">
        <v>23</v>
      </c>
      <c r="D256" t="n">
        <v>23</v>
      </c>
      <c r="E256" t="n">
        <v>4955.04</v>
      </c>
      <c r="F256" t="n">
        <v>0</v>
      </c>
      <c r="G256" t="n">
        <v>23</v>
      </c>
      <c r="H256" t="n">
        <v>368.52</v>
      </c>
      <c r="I256" t="n">
        <v>23</v>
      </c>
      <c r="J256" t="n">
        <v>100</v>
      </c>
    </row>
    <row r="257">
      <c r="A257" s="19" t="n">
        <v>43009</v>
      </c>
      <c r="B257" t="inlineStr">
        <is>
          <t>PR</t>
        </is>
      </c>
      <c r="C257" t="n">
        <v>206</v>
      </c>
      <c r="D257" t="n">
        <v>198</v>
      </c>
      <c r="E257" t="n">
        <v>37404.6</v>
      </c>
      <c r="F257" t="n">
        <v>6</v>
      </c>
      <c r="G257" t="n">
        <v>198</v>
      </c>
      <c r="H257" t="n">
        <v>2535.33</v>
      </c>
      <c r="I257" t="n">
        <v>204</v>
      </c>
      <c r="J257" t="n">
        <v>833</v>
      </c>
    </row>
    <row r="258">
      <c r="A258" s="19" t="n">
        <v>43009</v>
      </c>
      <c r="B258" t="inlineStr">
        <is>
          <t>RJ</t>
        </is>
      </c>
      <c r="C258" t="n">
        <v>668</v>
      </c>
      <c r="D258" t="n">
        <v>654</v>
      </c>
      <c r="E258" t="n">
        <v>110577.96</v>
      </c>
      <c r="F258" t="n">
        <v>45</v>
      </c>
      <c r="G258" t="n">
        <v>654</v>
      </c>
      <c r="H258" t="n">
        <v>8559.969999999999</v>
      </c>
      <c r="I258" t="n">
        <v>658</v>
      </c>
      <c r="J258" t="n">
        <v>2723</v>
      </c>
    </row>
    <row r="259">
      <c r="A259" s="19" t="n">
        <v>43009</v>
      </c>
      <c r="B259" t="inlineStr">
        <is>
          <t>RN</t>
        </is>
      </c>
      <c r="C259" t="n">
        <v>23</v>
      </c>
      <c r="D259" t="n">
        <v>23</v>
      </c>
      <c r="E259" t="n">
        <v>5352.02</v>
      </c>
      <c r="F259" t="n">
        <v>1</v>
      </c>
      <c r="G259" t="n">
        <v>23</v>
      </c>
      <c r="H259" t="n">
        <v>423.14</v>
      </c>
      <c r="I259" t="n">
        <v>23</v>
      </c>
      <c r="J259" t="n">
        <v>95</v>
      </c>
    </row>
    <row r="260">
      <c r="A260" s="19" t="n">
        <v>43009</v>
      </c>
      <c r="B260" t="inlineStr">
        <is>
          <t>RO</t>
        </is>
      </c>
      <c r="C260" t="n">
        <v>14</v>
      </c>
      <c r="D260" t="n">
        <v>13</v>
      </c>
      <c r="E260" t="n">
        <v>2291.69</v>
      </c>
      <c r="F260" t="n">
        <v>0</v>
      </c>
      <c r="G260" t="n">
        <v>13</v>
      </c>
      <c r="H260" t="n">
        <v>217.69</v>
      </c>
      <c r="I260" t="n">
        <v>14</v>
      </c>
      <c r="J260" t="n">
        <v>59</v>
      </c>
    </row>
    <row r="261">
      <c r="A261" s="19" t="n">
        <v>43009</v>
      </c>
      <c r="B261" t="inlineStr">
        <is>
          <t>RR</t>
        </is>
      </c>
      <c r="C261" t="n">
        <v>3</v>
      </c>
      <c r="D261" t="n">
        <v>3</v>
      </c>
      <c r="E261" t="n">
        <v>525.15</v>
      </c>
      <c r="F261" t="n">
        <v>1</v>
      </c>
      <c r="G261" t="n">
        <v>3</v>
      </c>
      <c r="H261" t="n">
        <v>100.17</v>
      </c>
      <c r="I261" t="n">
        <v>3</v>
      </c>
      <c r="J261" t="n">
        <v>11</v>
      </c>
    </row>
    <row r="262">
      <c r="A262" s="19" t="n">
        <v>43009</v>
      </c>
      <c r="B262" t="inlineStr">
        <is>
          <t>RS</t>
        </is>
      </c>
      <c r="C262" t="n">
        <v>252</v>
      </c>
      <c r="D262" t="n">
        <v>244</v>
      </c>
      <c r="E262" t="n">
        <v>43173.07</v>
      </c>
      <c r="F262" t="n">
        <v>5</v>
      </c>
      <c r="G262" t="n">
        <v>244</v>
      </c>
      <c r="H262" t="n">
        <v>3523.88</v>
      </c>
      <c r="I262" t="n">
        <v>250</v>
      </c>
      <c r="J262" t="n">
        <v>1033</v>
      </c>
    </row>
    <row r="263">
      <c r="A263" s="19" t="n">
        <v>43009</v>
      </c>
      <c r="B263" t="inlineStr">
        <is>
          <t>SC</t>
        </is>
      </c>
      <c r="C263" t="n">
        <v>178</v>
      </c>
      <c r="D263" t="n">
        <v>174</v>
      </c>
      <c r="E263" t="n">
        <v>24773.76</v>
      </c>
      <c r="F263" t="n">
        <v>8</v>
      </c>
      <c r="G263" t="n">
        <v>174</v>
      </c>
      <c r="H263" t="n">
        <v>2250.45</v>
      </c>
      <c r="I263" t="n">
        <v>177</v>
      </c>
      <c r="J263" t="n">
        <v>736</v>
      </c>
    </row>
    <row r="264">
      <c r="A264" s="19" t="n">
        <v>43009</v>
      </c>
      <c r="B264" t="inlineStr">
        <is>
          <t>SE</t>
        </is>
      </c>
      <c r="C264" t="n">
        <v>22</v>
      </c>
      <c r="D264" t="n">
        <v>22</v>
      </c>
      <c r="E264" t="n">
        <v>5123.29</v>
      </c>
      <c r="F264" t="n">
        <v>6</v>
      </c>
      <c r="G264" t="n">
        <v>22</v>
      </c>
      <c r="H264" t="n">
        <v>517.9400000000001</v>
      </c>
      <c r="I264" t="n">
        <v>22</v>
      </c>
      <c r="J264" t="n">
        <v>73</v>
      </c>
    </row>
    <row r="265">
      <c r="A265" s="19" t="n">
        <v>43009</v>
      </c>
      <c r="B265" t="inlineStr">
        <is>
          <t>SP</t>
        </is>
      </c>
      <c r="C265" t="n">
        <v>1793</v>
      </c>
      <c r="D265" t="n">
        <v>1723</v>
      </c>
      <c r="E265" t="n">
        <v>249900.8</v>
      </c>
      <c r="F265" t="n">
        <v>56</v>
      </c>
      <c r="G265" t="n">
        <v>1723</v>
      </c>
      <c r="H265" t="n">
        <v>14295.66</v>
      </c>
      <c r="I265" t="n">
        <v>1779</v>
      </c>
      <c r="J265" t="n">
        <v>7347</v>
      </c>
    </row>
    <row r="266">
      <c r="A266" s="19" t="n">
        <v>43009</v>
      </c>
      <c r="B266" t="inlineStr">
        <is>
          <t>TO</t>
        </is>
      </c>
      <c r="C266" t="n">
        <v>13</v>
      </c>
      <c r="D266" t="n">
        <v>13</v>
      </c>
      <c r="E266" t="n">
        <v>3238.07</v>
      </c>
      <c r="F266" t="n">
        <v>0</v>
      </c>
      <c r="G266" t="n">
        <v>13</v>
      </c>
      <c r="H266" t="n">
        <v>180.69</v>
      </c>
      <c r="I266" t="n">
        <v>13</v>
      </c>
      <c r="J266" t="n">
        <v>51</v>
      </c>
    </row>
    <row r="267">
      <c r="A267" s="19" t="n">
        <v>43040</v>
      </c>
      <c r="B267" t="inlineStr">
        <is>
          <t>AC</t>
        </is>
      </c>
      <c r="C267" t="n">
        <v>5</v>
      </c>
      <c r="D267" t="n">
        <v>5</v>
      </c>
      <c r="E267" t="n">
        <v>945.16</v>
      </c>
      <c r="F267" t="n">
        <v>1</v>
      </c>
      <c r="G267" t="n">
        <v>5</v>
      </c>
      <c r="H267" t="n">
        <v>120.37</v>
      </c>
      <c r="I267" t="n">
        <v>5</v>
      </c>
      <c r="J267" t="n">
        <v>18</v>
      </c>
    </row>
    <row r="268">
      <c r="A268" s="19" t="n">
        <v>43040</v>
      </c>
      <c r="B268" t="inlineStr">
        <is>
          <t>AL</t>
        </is>
      </c>
      <c r="C268" t="n">
        <v>26</v>
      </c>
      <c r="D268" t="n">
        <v>26</v>
      </c>
      <c r="E268" t="n">
        <v>7441.47</v>
      </c>
      <c r="F268" t="n">
        <v>5</v>
      </c>
      <c r="G268" t="n">
        <v>26</v>
      </c>
      <c r="H268" t="n">
        <v>602.54</v>
      </c>
      <c r="I268" t="n">
        <v>26</v>
      </c>
      <c r="J268" t="n">
        <v>105</v>
      </c>
    </row>
    <row r="269">
      <c r="A269" s="19" t="n">
        <v>43040</v>
      </c>
      <c r="B269" t="inlineStr">
        <is>
          <t>AM</t>
        </is>
      </c>
      <c r="C269" t="n">
        <v>10</v>
      </c>
      <c r="D269" t="n">
        <v>10</v>
      </c>
      <c r="E269" t="n">
        <v>3001.01</v>
      </c>
      <c r="F269" t="n">
        <v>0</v>
      </c>
      <c r="G269" t="n">
        <v>10</v>
      </c>
      <c r="H269" t="n">
        <v>342.24</v>
      </c>
      <c r="I269" t="n">
        <v>10</v>
      </c>
      <c r="J269" t="n">
        <v>47</v>
      </c>
    </row>
    <row r="270">
      <c r="A270" s="19" t="n">
        <v>43040</v>
      </c>
      <c r="B270" t="inlineStr">
        <is>
          <t>AP</t>
        </is>
      </c>
      <c r="C270" t="n">
        <v>4</v>
      </c>
      <c r="D270" t="n">
        <v>4</v>
      </c>
      <c r="E270" t="n">
        <v>689.17</v>
      </c>
      <c r="F270" t="n">
        <v>0</v>
      </c>
      <c r="G270" t="n">
        <v>4</v>
      </c>
      <c r="H270" t="n">
        <v>111.81</v>
      </c>
      <c r="I270" t="n">
        <v>4</v>
      </c>
      <c r="J270" t="n">
        <v>18</v>
      </c>
    </row>
    <row r="271">
      <c r="A271" s="19" t="n">
        <v>43040</v>
      </c>
      <c r="B271" t="inlineStr">
        <is>
          <t>BA</t>
        </is>
      </c>
      <c r="C271" t="n">
        <v>250</v>
      </c>
      <c r="D271" t="n">
        <v>243</v>
      </c>
      <c r="E271" t="n">
        <v>35449.55</v>
      </c>
      <c r="F271" t="n">
        <v>36</v>
      </c>
      <c r="G271" t="n">
        <v>243</v>
      </c>
      <c r="H271" t="n">
        <v>4947.36</v>
      </c>
      <c r="I271" t="n">
        <v>248</v>
      </c>
      <c r="J271" t="n">
        <v>951</v>
      </c>
    </row>
    <row r="272">
      <c r="A272" s="19" t="n">
        <v>43040</v>
      </c>
      <c r="B272" t="inlineStr">
        <is>
          <t>CE</t>
        </is>
      </c>
      <c r="C272" t="n">
        <v>108</v>
      </c>
      <c r="D272" t="n">
        <v>103</v>
      </c>
      <c r="E272" t="n">
        <v>22128.37</v>
      </c>
      <c r="F272" t="n">
        <v>27</v>
      </c>
      <c r="G272" t="n">
        <v>103</v>
      </c>
      <c r="H272" t="n">
        <v>2577.43</v>
      </c>
      <c r="I272" t="n">
        <v>107</v>
      </c>
      <c r="J272" t="n">
        <v>363</v>
      </c>
    </row>
    <row r="273">
      <c r="A273" s="19" t="n">
        <v>43040</v>
      </c>
      <c r="B273" t="inlineStr">
        <is>
          <t>DF</t>
        </is>
      </c>
      <c r="C273" t="n">
        <v>168</v>
      </c>
      <c r="D273" t="n">
        <v>157</v>
      </c>
      <c r="E273" t="n">
        <v>30196.03</v>
      </c>
      <c r="F273" t="n">
        <v>18</v>
      </c>
      <c r="G273" t="n">
        <v>157</v>
      </c>
      <c r="H273" t="n">
        <v>2372.7</v>
      </c>
      <c r="I273" t="n">
        <v>168</v>
      </c>
      <c r="J273" t="n">
        <v>634</v>
      </c>
    </row>
    <row r="274">
      <c r="A274" s="19" t="n">
        <v>43040</v>
      </c>
      <c r="B274" t="inlineStr">
        <is>
          <t>ES</t>
        </is>
      </c>
      <c r="C274" t="n">
        <v>170</v>
      </c>
      <c r="D274" t="n">
        <v>168</v>
      </c>
      <c r="E274" t="n">
        <v>28402.83</v>
      </c>
      <c r="F274" t="n">
        <v>34</v>
      </c>
      <c r="G274" t="n">
        <v>168</v>
      </c>
      <c r="H274" t="n">
        <v>2918.41</v>
      </c>
      <c r="I274" t="n">
        <v>167</v>
      </c>
      <c r="J274" t="n">
        <v>629</v>
      </c>
    </row>
    <row r="275">
      <c r="A275" s="19" t="n">
        <v>43040</v>
      </c>
      <c r="B275" t="inlineStr">
        <is>
          <t>GO</t>
        </is>
      </c>
      <c r="C275" t="n">
        <v>157</v>
      </c>
      <c r="D275" t="n">
        <v>153</v>
      </c>
      <c r="E275" t="n">
        <v>24663.56</v>
      </c>
      <c r="F275" t="n">
        <v>20</v>
      </c>
      <c r="G275" t="n">
        <v>153</v>
      </c>
      <c r="H275" t="n">
        <v>2837.98</v>
      </c>
      <c r="I275" t="n">
        <v>153</v>
      </c>
      <c r="J275" t="n">
        <v>611</v>
      </c>
    </row>
    <row r="276">
      <c r="A276" s="19" t="n">
        <v>43040</v>
      </c>
      <c r="B276" t="inlineStr">
        <is>
          <t>MA</t>
        </is>
      </c>
      <c r="C276" t="n">
        <v>56</v>
      </c>
      <c r="D276" t="n">
        <v>53</v>
      </c>
      <c r="E276" t="n">
        <v>12234.4</v>
      </c>
      <c r="F276" t="n">
        <v>28</v>
      </c>
      <c r="G276" t="n">
        <v>53</v>
      </c>
      <c r="H276" t="n">
        <v>1611.27</v>
      </c>
      <c r="I276" t="n">
        <v>55</v>
      </c>
      <c r="J276" t="n">
        <v>169</v>
      </c>
    </row>
    <row r="277">
      <c r="A277" s="19" t="n">
        <v>43040</v>
      </c>
      <c r="B277" t="inlineStr">
        <is>
          <t>MG</t>
        </is>
      </c>
      <c r="C277" t="n">
        <v>943</v>
      </c>
      <c r="D277" t="n">
        <v>922</v>
      </c>
      <c r="E277" t="n">
        <v>154129.38</v>
      </c>
      <c r="F277" t="n">
        <v>66</v>
      </c>
      <c r="G277" t="n">
        <v>922</v>
      </c>
      <c r="H277" t="n">
        <v>13244.65</v>
      </c>
      <c r="I277" t="n">
        <v>935</v>
      </c>
      <c r="J277" t="n">
        <v>3844</v>
      </c>
    </row>
    <row r="278">
      <c r="A278" s="19" t="n">
        <v>43040</v>
      </c>
      <c r="B278" t="inlineStr">
        <is>
          <t>MS</t>
        </is>
      </c>
      <c r="C278" t="n">
        <v>46</v>
      </c>
      <c r="D278" t="n">
        <v>44</v>
      </c>
      <c r="E278" t="n">
        <v>6982.46</v>
      </c>
      <c r="F278" t="n">
        <v>4</v>
      </c>
      <c r="G278" t="n">
        <v>44</v>
      </c>
      <c r="H278" t="n">
        <v>710.12</v>
      </c>
      <c r="I278" t="n">
        <v>46</v>
      </c>
      <c r="J278" t="n">
        <v>188</v>
      </c>
    </row>
    <row r="279">
      <c r="A279" s="19" t="n">
        <v>43040</v>
      </c>
      <c r="B279" t="inlineStr">
        <is>
          <t>MT</t>
        </is>
      </c>
      <c r="C279" t="n">
        <v>74</v>
      </c>
      <c r="D279" t="n">
        <v>73</v>
      </c>
      <c r="E279" t="n">
        <v>13363.59</v>
      </c>
      <c r="F279" t="n">
        <v>9</v>
      </c>
      <c r="G279" t="n">
        <v>73</v>
      </c>
      <c r="H279" t="n">
        <v>1468.75</v>
      </c>
      <c r="I279" t="n">
        <v>74</v>
      </c>
      <c r="J279" t="n">
        <v>293</v>
      </c>
    </row>
    <row r="280">
      <c r="A280" s="19" t="n">
        <v>43040</v>
      </c>
      <c r="B280" t="inlineStr">
        <is>
          <t>PA</t>
        </is>
      </c>
      <c r="C280" t="n">
        <v>70</v>
      </c>
      <c r="D280" t="n">
        <v>69</v>
      </c>
      <c r="E280" t="n">
        <v>14372.53</v>
      </c>
      <c r="F280" t="n">
        <v>10</v>
      </c>
      <c r="G280" t="n">
        <v>69</v>
      </c>
      <c r="H280" t="n">
        <v>1827.98</v>
      </c>
      <c r="I280" t="n">
        <v>69</v>
      </c>
      <c r="J280" t="n">
        <v>241</v>
      </c>
    </row>
    <row r="281">
      <c r="A281" s="19" t="n">
        <v>43040</v>
      </c>
      <c r="B281" t="inlineStr">
        <is>
          <t>PB</t>
        </is>
      </c>
      <c r="C281" t="n">
        <v>30</v>
      </c>
      <c r="D281" t="n">
        <v>27</v>
      </c>
      <c r="E281" t="n">
        <v>5716.22</v>
      </c>
      <c r="F281" t="n">
        <v>5</v>
      </c>
      <c r="G281" t="n">
        <v>27</v>
      </c>
      <c r="H281" t="n">
        <v>645.91</v>
      </c>
      <c r="I281" t="n">
        <v>29</v>
      </c>
      <c r="J281" t="n">
        <v>98</v>
      </c>
    </row>
    <row r="282">
      <c r="A282" s="19" t="n">
        <v>43040</v>
      </c>
      <c r="B282" t="inlineStr">
        <is>
          <t>PE</t>
        </is>
      </c>
      <c r="C282" t="n">
        <v>126</v>
      </c>
      <c r="D282" t="n">
        <v>125</v>
      </c>
      <c r="E282" t="n">
        <v>24234.7</v>
      </c>
      <c r="F282" t="n">
        <v>15</v>
      </c>
      <c r="G282" t="n">
        <v>125</v>
      </c>
      <c r="H282" t="n">
        <v>2424.33</v>
      </c>
      <c r="I282" t="n">
        <v>125</v>
      </c>
      <c r="J282" t="n">
        <v>471</v>
      </c>
    </row>
    <row r="283">
      <c r="A283" s="19" t="n">
        <v>43040</v>
      </c>
      <c r="B283" t="inlineStr">
        <is>
          <t>PI</t>
        </is>
      </c>
      <c r="C283" t="n">
        <v>31</v>
      </c>
      <c r="D283" t="n">
        <v>31</v>
      </c>
      <c r="E283" t="n">
        <v>3805.39</v>
      </c>
      <c r="F283" t="n">
        <v>15</v>
      </c>
      <c r="G283" t="n">
        <v>31</v>
      </c>
      <c r="H283" t="n">
        <v>830.66</v>
      </c>
      <c r="I283" t="n">
        <v>31</v>
      </c>
      <c r="J283" t="n">
        <v>102</v>
      </c>
    </row>
    <row r="284">
      <c r="A284" s="19" t="n">
        <v>43040</v>
      </c>
      <c r="B284" t="inlineStr">
        <is>
          <t>PR</t>
        </is>
      </c>
      <c r="C284" t="n">
        <v>378</v>
      </c>
      <c r="D284" t="n">
        <v>365</v>
      </c>
      <c r="E284" t="n">
        <v>54237.97</v>
      </c>
      <c r="F284" t="n">
        <v>32</v>
      </c>
      <c r="G284" t="n">
        <v>365</v>
      </c>
      <c r="H284" t="n">
        <v>5366.33</v>
      </c>
      <c r="I284" t="n">
        <v>375</v>
      </c>
      <c r="J284" t="n">
        <v>1519</v>
      </c>
    </row>
    <row r="285">
      <c r="A285" s="19" t="n">
        <v>43040</v>
      </c>
      <c r="B285" t="inlineStr">
        <is>
          <t>RJ</t>
        </is>
      </c>
      <c r="C285" t="n">
        <v>1048</v>
      </c>
      <c r="D285" t="n">
        <v>1012</v>
      </c>
      <c r="E285" t="n">
        <v>172197.82</v>
      </c>
      <c r="F285" t="n">
        <v>263</v>
      </c>
      <c r="G285" t="n">
        <v>1012</v>
      </c>
      <c r="H285" t="n">
        <v>19465.36</v>
      </c>
      <c r="I285" t="n">
        <v>1040</v>
      </c>
      <c r="J285" t="n">
        <v>3744</v>
      </c>
    </row>
    <row r="286">
      <c r="A286" s="19" t="n">
        <v>43040</v>
      </c>
      <c r="B286" t="inlineStr">
        <is>
          <t>RN</t>
        </is>
      </c>
      <c r="C286" t="n">
        <v>44</v>
      </c>
      <c r="D286" t="n">
        <v>41</v>
      </c>
      <c r="E286" t="n">
        <v>9740.030000000001</v>
      </c>
      <c r="F286" t="n">
        <v>8</v>
      </c>
      <c r="G286" t="n">
        <v>41</v>
      </c>
      <c r="H286" t="n">
        <v>849.6900000000001</v>
      </c>
      <c r="I286" t="n">
        <v>44</v>
      </c>
      <c r="J286" t="n">
        <v>153</v>
      </c>
    </row>
    <row r="287">
      <c r="A287" s="19" t="n">
        <v>43040</v>
      </c>
      <c r="B287" t="inlineStr">
        <is>
          <t>RO</t>
        </is>
      </c>
      <c r="C287" t="n">
        <v>17</v>
      </c>
      <c r="D287" t="n">
        <v>17</v>
      </c>
      <c r="E287" t="n">
        <v>7057.47</v>
      </c>
      <c r="F287" t="n">
        <v>0</v>
      </c>
      <c r="G287" t="n">
        <v>17</v>
      </c>
      <c r="H287" t="n">
        <v>291.19</v>
      </c>
      <c r="I287" t="n">
        <v>17</v>
      </c>
      <c r="J287" t="n">
        <v>67</v>
      </c>
    </row>
    <row r="288">
      <c r="A288" s="19" t="n">
        <v>43040</v>
      </c>
      <c r="B288" t="inlineStr">
        <is>
          <t>RR</t>
        </is>
      </c>
      <c r="C288" t="n">
        <v>2</v>
      </c>
      <c r="D288" t="n">
        <v>2</v>
      </c>
      <c r="E288" t="n">
        <v>151.46</v>
      </c>
      <c r="F288" t="n">
        <v>1</v>
      </c>
      <c r="G288" t="n">
        <v>2</v>
      </c>
      <c r="H288" t="n">
        <v>68.23</v>
      </c>
      <c r="I288" t="n">
        <v>2</v>
      </c>
      <c r="J288" t="n">
        <v>6</v>
      </c>
    </row>
    <row r="289">
      <c r="A289" s="19" t="n">
        <v>43040</v>
      </c>
      <c r="B289" t="inlineStr">
        <is>
          <t>RS</t>
        </is>
      </c>
      <c r="C289" t="n">
        <v>422</v>
      </c>
      <c r="D289" t="n">
        <v>409</v>
      </c>
      <c r="E289" t="n">
        <v>67262.73</v>
      </c>
      <c r="F289" t="n">
        <v>52</v>
      </c>
      <c r="G289" t="n">
        <v>409</v>
      </c>
      <c r="H289" t="n">
        <v>7772.62</v>
      </c>
      <c r="I289" t="n">
        <v>419</v>
      </c>
      <c r="J289" t="n">
        <v>1588</v>
      </c>
    </row>
    <row r="290">
      <c r="A290" s="19" t="n">
        <v>43040</v>
      </c>
      <c r="B290" t="inlineStr">
        <is>
          <t>SC</t>
        </is>
      </c>
      <c r="C290" t="n">
        <v>303</v>
      </c>
      <c r="D290" t="n">
        <v>288</v>
      </c>
      <c r="E290" t="n">
        <v>44267.72</v>
      </c>
      <c r="F290" t="n">
        <v>43</v>
      </c>
      <c r="G290" t="n">
        <v>288</v>
      </c>
      <c r="H290" t="n">
        <v>5075.21</v>
      </c>
      <c r="I290" t="n">
        <v>300</v>
      </c>
      <c r="J290" t="n">
        <v>1141</v>
      </c>
    </row>
    <row r="291">
      <c r="A291" s="19" t="n">
        <v>43040</v>
      </c>
      <c r="B291" t="inlineStr">
        <is>
          <t>SE</t>
        </is>
      </c>
      <c r="C291" t="n">
        <v>27</v>
      </c>
      <c r="D291" t="n">
        <v>26</v>
      </c>
      <c r="E291" t="n">
        <v>6613.39</v>
      </c>
      <c r="F291" t="n">
        <v>7</v>
      </c>
      <c r="G291" t="n">
        <v>26</v>
      </c>
      <c r="H291" t="n">
        <v>687.65</v>
      </c>
      <c r="I291" t="n">
        <v>27</v>
      </c>
      <c r="J291" t="n">
        <v>91</v>
      </c>
    </row>
    <row r="292">
      <c r="A292" s="19" t="n">
        <v>43040</v>
      </c>
      <c r="B292" t="inlineStr">
        <is>
          <t>SP</t>
        </is>
      </c>
      <c r="C292" t="n">
        <v>3012</v>
      </c>
      <c r="D292" t="n">
        <v>2899</v>
      </c>
      <c r="E292" t="n">
        <v>401000.87</v>
      </c>
      <c r="F292" t="n">
        <v>202</v>
      </c>
      <c r="G292" t="n">
        <v>2898</v>
      </c>
      <c r="H292" t="n">
        <v>30986.93</v>
      </c>
      <c r="I292" t="n">
        <v>2987</v>
      </c>
      <c r="J292" t="n">
        <v>12092</v>
      </c>
    </row>
    <row r="293">
      <c r="A293" s="19" t="n">
        <v>43040</v>
      </c>
      <c r="B293" t="inlineStr">
        <is>
          <t>TO</t>
        </is>
      </c>
      <c r="C293" t="n">
        <v>17</v>
      </c>
      <c r="D293" t="n">
        <v>17</v>
      </c>
      <c r="E293" t="n">
        <v>3078.92</v>
      </c>
      <c r="F293" t="n">
        <v>3</v>
      </c>
      <c r="G293" t="n">
        <v>17</v>
      </c>
      <c r="H293" t="n">
        <v>336.51</v>
      </c>
      <c r="I293" t="n">
        <v>17</v>
      </c>
      <c r="J293" t="n">
        <v>69</v>
      </c>
    </row>
    <row r="294">
      <c r="A294" s="19" t="n">
        <v>43070</v>
      </c>
      <c r="B294" t="inlineStr">
        <is>
          <t>AC</t>
        </is>
      </c>
      <c r="C294" t="n">
        <v>5</v>
      </c>
      <c r="D294" t="n">
        <v>5</v>
      </c>
      <c r="E294" t="n">
        <v>1409.58</v>
      </c>
      <c r="F294" t="n">
        <v>0</v>
      </c>
      <c r="G294" t="n">
        <v>5</v>
      </c>
      <c r="H294" t="n">
        <v>109.59</v>
      </c>
      <c r="I294" t="n">
        <v>5</v>
      </c>
      <c r="J294" t="n">
        <v>24</v>
      </c>
    </row>
    <row r="295">
      <c r="A295" s="19" t="n">
        <v>43070</v>
      </c>
      <c r="B295" t="inlineStr">
        <is>
          <t>AL</t>
        </is>
      </c>
      <c r="C295" t="n">
        <v>14</v>
      </c>
      <c r="D295" t="n">
        <v>12</v>
      </c>
      <c r="E295" t="n">
        <v>2680.76</v>
      </c>
      <c r="F295" t="n">
        <v>0</v>
      </c>
      <c r="G295" t="n">
        <v>12</v>
      </c>
      <c r="H295" t="n">
        <v>261.29</v>
      </c>
      <c r="I295" t="n">
        <v>14</v>
      </c>
      <c r="J295" t="n">
        <v>59</v>
      </c>
    </row>
    <row r="296">
      <c r="A296" s="19" t="n">
        <v>43070</v>
      </c>
      <c r="B296" t="inlineStr">
        <is>
          <t>AM</t>
        </is>
      </c>
      <c r="C296" t="n">
        <v>6</v>
      </c>
      <c r="D296" t="n">
        <v>6</v>
      </c>
      <c r="E296" t="n">
        <v>1173.62</v>
      </c>
      <c r="F296" t="n">
        <v>0</v>
      </c>
      <c r="G296" t="n">
        <v>6</v>
      </c>
      <c r="H296" t="n">
        <v>221.26</v>
      </c>
      <c r="I296" t="n">
        <v>6</v>
      </c>
      <c r="J296" t="n">
        <v>28</v>
      </c>
    </row>
    <row r="297">
      <c r="A297" s="19" t="n">
        <v>43070</v>
      </c>
      <c r="B297" t="inlineStr">
        <is>
          <t>AP</t>
        </is>
      </c>
      <c r="C297" t="n">
        <v>4</v>
      </c>
      <c r="D297" t="n">
        <v>4</v>
      </c>
      <c r="E297" t="n">
        <v>770.5599999999999</v>
      </c>
      <c r="F297" t="n">
        <v>0</v>
      </c>
      <c r="G297" t="n">
        <v>4</v>
      </c>
      <c r="H297" t="n">
        <v>122.17</v>
      </c>
      <c r="I297" t="n">
        <v>4</v>
      </c>
      <c r="J297" t="n">
        <v>16</v>
      </c>
    </row>
    <row r="298">
      <c r="A298" s="19" t="n">
        <v>43070</v>
      </c>
      <c r="B298" t="inlineStr">
        <is>
          <t>BA</t>
        </is>
      </c>
      <c r="C298" t="n">
        <v>192</v>
      </c>
      <c r="D298" t="n">
        <v>188</v>
      </c>
      <c r="E298" t="n">
        <v>32914.95</v>
      </c>
      <c r="F298" t="n">
        <v>24</v>
      </c>
      <c r="G298" t="n">
        <v>188</v>
      </c>
      <c r="H298" t="n">
        <v>4213.14</v>
      </c>
      <c r="I298" t="n">
        <v>189</v>
      </c>
      <c r="J298" t="n">
        <v>743</v>
      </c>
    </row>
    <row r="299">
      <c r="A299" s="19" t="n">
        <v>43070</v>
      </c>
      <c r="B299" t="inlineStr">
        <is>
          <t>CE</t>
        </is>
      </c>
      <c r="C299" t="n">
        <v>81</v>
      </c>
      <c r="D299" t="n">
        <v>79</v>
      </c>
      <c r="E299" t="n">
        <v>12640.2</v>
      </c>
      <c r="F299" t="n">
        <v>6</v>
      </c>
      <c r="G299" t="n">
        <v>79</v>
      </c>
      <c r="H299" t="n">
        <v>1824.71</v>
      </c>
      <c r="I299" t="n">
        <v>81</v>
      </c>
      <c r="J299" t="n">
        <v>325</v>
      </c>
    </row>
    <row r="300">
      <c r="A300" s="19" t="n">
        <v>43070</v>
      </c>
      <c r="B300" t="inlineStr">
        <is>
          <t>DF</t>
        </is>
      </c>
      <c r="C300" t="n">
        <v>131</v>
      </c>
      <c r="D300" t="n">
        <v>129</v>
      </c>
      <c r="E300" t="n">
        <v>19766.65</v>
      </c>
      <c r="F300" t="n">
        <v>6</v>
      </c>
      <c r="G300" t="n">
        <v>129</v>
      </c>
      <c r="H300" t="n">
        <v>1983.24</v>
      </c>
      <c r="I300" t="n">
        <v>129</v>
      </c>
      <c r="J300" t="n">
        <v>531</v>
      </c>
    </row>
    <row r="301">
      <c r="A301" s="19" t="n">
        <v>43070</v>
      </c>
      <c r="B301" t="inlineStr">
        <is>
          <t>ES</t>
        </is>
      </c>
      <c r="C301" t="n">
        <v>113</v>
      </c>
      <c r="D301" t="n">
        <v>108</v>
      </c>
      <c r="E301" t="n">
        <v>14250.56</v>
      </c>
      <c r="F301" t="n">
        <v>7</v>
      </c>
      <c r="G301" t="n">
        <v>108</v>
      </c>
      <c r="H301" t="n">
        <v>2126.68</v>
      </c>
      <c r="I301" t="n">
        <v>111</v>
      </c>
      <c r="J301" t="n">
        <v>451</v>
      </c>
    </row>
    <row r="302">
      <c r="A302" s="19" t="n">
        <v>43070</v>
      </c>
      <c r="B302" t="inlineStr">
        <is>
          <t>GO</t>
        </is>
      </c>
      <c r="C302" t="n">
        <v>127</v>
      </c>
      <c r="D302" t="n">
        <v>125</v>
      </c>
      <c r="E302" t="n">
        <v>18386.48</v>
      </c>
      <c r="F302" t="n">
        <v>9</v>
      </c>
      <c r="G302" t="n">
        <v>125</v>
      </c>
      <c r="H302" t="n">
        <v>2313.31</v>
      </c>
      <c r="I302" t="n">
        <v>126</v>
      </c>
      <c r="J302" t="n">
        <v>500</v>
      </c>
    </row>
    <row r="303">
      <c r="A303" s="19" t="n">
        <v>43070</v>
      </c>
      <c r="B303" t="inlineStr">
        <is>
          <t>MA</t>
        </is>
      </c>
      <c r="C303" t="n">
        <v>41</v>
      </c>
      <c r="D303" t="n">
        <v>40</v>
      </c>
      <c r="E303" t="n">
        <v>7281.94</v>
      </c>
      <c r="F303" t="n">
        <v>5</v>
      </c>
      <c r="G303" t="n">
        <v>40</v>
      </c>
      <c r="H303" t="n">
        <v>975.45</v>
      </c>
      <c r="I303" t="n">
        <v>41</v>
      </c>
      <c r="J303" t="n">
        <v>134</v>
      </c>
    </row>
    <row r="304">
      <c r="A304" s="19" t="n">
        <v>43070</v>
      </c>
      <c r="B304" t="inlineStr">
        <is>
          <t>MG</t>
        </is>
      </c>
      <c r="C304" t="n">
        <v>691</v>
      </c>
      <c r="D304" t="n">
        <v>669</v>
      </c>
      <c r="E304" t="n">
        <v>105453.8</v>
      </c>
      <c r="F304" t="n">
        <v>23</v>
      </c>
      <c r="G304" t="n">
        <v>669</v>
      </c>
      <c r="H304" t="n">
        <v>9792.870000000001</v>
      </c>
      <c r="I304" t="n">
        <v>688</v>
      </c>
      <c r="J304" t="n">
        <v>2781</v>
      </c>
    </row>
    <row r="305">
      <c r="A305" s="19" t="n">
        <v>43070</v>
      </c>
      <c r="B305" t="inlineStr">
        <is>
          <t>MS</t>
        </is>
      </c>
      <c r="C305" t="n">
        <v>36</v>
      </c>
      <c r="D305" t="n">
        <v>34</v>
      </c>
      <c r="E305" t="n">
        <v>6005.95</v>
      </c>
      <c r="F305" t="n">
        <v>2</v>
      </c>
      <c r="G305" t="n">
        <v>34</v>
      </c>
      <c r="H305" t="n">
        <v>676.34</v>
      </c>
      <c r="I305" t="n">
        <v>36</v>
      </c>
      <c r="J305" t="n">
        <v>149</v>
      </c>
    </row>
    <row r="306">
      <c r="A306" s="19" t="n">
        <v>43070</v>
      </c>
      <c r="B306" t="inlineStr">
        <is>
          <t>MT</t>
        </is>
      </c>
      <c r="C306" t="n">
        <v>50</v>
      </c>
      <c r="D306" t="n">
        <v>49</v>
      </c>
      <c r="E306" t="n">
        <v>10548.43</v>
      </c>
      <c r="F306" t="n">
        <v>5</v>
      </c>
      <c r="G306" t="n">
        <v>49</v>
      </c>
      <c r="H306" t="n">
        <v>1143.72</v>
      </c>
      <c r="I306" t="n">
        <v>49</v>
      </c>
      <c r="J306" t="n">
        <v>190</v>
      </c>
    </row>
    <row r="307">
      <c r="A307" s="19" t="n">
        <v>43070</v>
      </c>
      <c r="B307" t="inlineStr">
        <is>
          <t>PA</t>
        </is>
      </c>
      <c r="C307" t="n">
        <v>58</v>
      </c>
      <c r="D307" t="n">
        <v>58</v>
      </c>
      <c r="E307" t="n">
        <v>12382.4</v>
      </c>
      <c r="F307" t="n">
        <v>4</v>
      </c>
      <c r="G307" t="n">
        <v>58</v>
      </c>
      <c r="H307" t="n">
        <v>1534.6</v>
      </c>
      <c r="I307" t="n">
        <v>57</v>
      </c>
      <c r="J307" t="n">
        <v>221</v>
      </c>
    </row>
    <row r="308">
      <c r="A308" s="19" t="n">
        <v>43070</v>
      </c>
      <c r="B308" t="inlineStr">
        <is>
          <t>PB</t>
        </is>
      </c>
      <c r="C308" t="n">
        <v>37</v>
      </c>
      <c r="D308" t="n">
        <v>37</v>
      </c>
      <c r="E308" t="n">
        <v>7016.25</v>
      </c>
      <c r="F308" t="n">
        <v>4</v>
      </c>
      <c r="G308" t="n">
        <v>37</v>
      </c>
      <c r="H308" t="n">
        <v>797.75</v>
      </c>
      <c r="I308" t="n">
        <v>36</v>
      </c>
      <c r="J308" t="n">
        <v>134</v>
      </c>
    </row>
    <row r="309">
      <c r="A309" s="19" t="n">
        <v>43070</v>
      </c>
      <c r="B309" t="inlineStr">
        <is>
          <t>PE</t>
        </is>
      </c>
      <c r="C309" t="n">
        <v>103</v>
      </c>
      <c r="D309" t="n">
        <v>101</v>
      </c>
      <c r="E309" t="n">
        <v>19157.13</v>
      </c>
      <c r="F309" t="n">
        <v>8</v>
      </c>
      <c r="G309" t="n">
        <v>101</v>
      </c>
      <c r="H309" t="n">
        <v>2184.41</v>
      </c>
      <c r="I309" t="n">
        <v>101</v>
      </c>
      <c r="J309" t="n">
        <v>400</v>
      </c>
    </row>
    <row r="310">
      <c r="A310" s="19" t="n">
        <v>43070</v>
      </c>
      <c r="B310" t="inlineStr">
        <is>
          <t>PI</t>
        </is>
      </c>
      <c r="C310" t="n">
        <v>23</v>
      </c>
      <c r="D310" t="n">
        <v>23</v>
      </c>
      <c r="E310" t="n">
        <v>3508.48</v>
      </c>
      <c r="F310" t="n">
        <v>3</v>
      </c>
      <c r="G310" t="n">
        <v>23</v>
      </c>
      <c r="H310" t="n">
        <v>478.93</v>
      </c>
      <c r="I310" t="n">
        <v>23</v>
      </c>
      <c r="J310" t="n">
        <v>102</v>
      </c>
    </row>
    <row r="311">
      <c r="A311" s="19" t="n">
        <v>43070</v>
      </c>
      <c r="B311" t="inlineStr">
        <is>
          <t>PR</t>
        </is>
      </c>
      <c r="C311" t="n">
        <v>270</v>
      </c>
      <c r="D311" t="n">
        <v>260</v>
      </c>
      <c r="E311" t="n">
        <v>35094.41</v>
      </c>
      <c r="F311" t="n">
        <v>13</v>
      </c>
      <c r="G311" t="n">
        <v>260</v>
      </c>
      <c r="H311" t="n">
        <v>3860.73</v>
      </c>
      <c r="I311" t="n">
        <v>269</v>
      </c>
      <c r="J311" t="n">
        <v>1076</v>
      </c>
    </row>
    <row r="312">
      <c r="A312" s="19" t="n">
        <v>43070</v>
      </c>
      <c r="B312" t="inlineStr">
        <is>
          <t>RJ</t>
        </is>
      </c>
      <c r="C312" t="n">
        <v>783</v>
      </c>
      <c r="D312" t="n">
        <v>746</v>
      </c>
      <c r="E312" t="n">
        <v>130017.21</v>
      </c>
      <c r="F312" t="n">
        <v>179</v>
      </c>
      <c r="G312" t="n">
        <v>746</v>
      </c>
      <c r="H312" t="n">
        <v>16294.77</v>
      </c>
      <c r="I312" t="n">
        <v>765</v>
      </c>
      <c r="J312" t="n">
        <v>2635</v>
      </c>
    </row>
    <row r="313">
      <c r="A313" s="19" t="n">
        <v>43070</v>
      </c>
      <c r="B313" t="inlineStr">
        <is>
          <t>RN</t>
        </is>
      </c>
      <c r="C313" t="n">
        <v>30</v>
      </c>
      <c r="D313" t="n">
        <v>30</v>
      </c>
      <c r="E313" t="n">
        <v>4098.5</v>
      </c>
      <c r="F313" t="n">
        <v>2</v>
      </c>
      <c r="G313" t="n">
        <v>30</v>
      </c>
      <c r="H313" t="n">
        <v>507.32</v>
      </c>
      <c r="I313" t="n">
        <v>30</v>
      </c>
      <c r="J313" t="n">
        <v>135</v>
      </c>
    </row>
    <row r="314">
      <c r="A314" s="19" t="n">
        <v>43070</v>
      </c>
      <c r="B314" t="inlineStr">
        <is>
          <t>RO</t>
        </is>
      </c>
      <c r="C314" t="n">
        <v>11</v>
      </c>
      <c r="D314" t="n">
        <v>11</v>
      </c>
      <c r="E314" t="n">
        <v>2410.36</v>
      </c>
      <c r="F314" t="n">
        <v>0</v>
      </c>
      <c r="G314" t="n">
        <v>11</v>
      </c>
      <c r="H314" t="n">
        <v>232.99</v>
      </c>
      <c r="I314" t="n">
        <v>11</v>
      </c>
      <c r="J314" t="n">
        <v>41</v>
      </c>
    </row>
    <row r="315">
      <c r="A315" s="19" t="n">
        <v>43070</v>
      </c>
      <c r="B315" t="inlineStr">
        <is>
          <t>RS</t>
        </is>
      </c>
      <c r="C315" t="n">
        <v>283</v>
      </c>
      <c r="D315" t="n">
        <v>278</v>
      </c>
      <c r="E315" t="n">
        <v>48693.42</v>
      </c>
      <c r="F315" t="n">
        <v>28</v>
      </c>
      <c r="G315" t="n">
        <v>278</v>
      </c>
      <c r="H315" t="n">
        <v>5591.9</v>
      </c>
      <c r="I315" t="n">
        <v>279</v>
      </c>
      <c r="J315" t="n">
        <v>1104</v>
      </c>
    </row>
    <row r="316">
      <c r="A316" s="19" t="n">
        <v>43070</v>
      </c>
      <c r="B316" t="inlineStr">
        <is>
          <t>SC</t>
        </is>
      </c>
      <c r="C316" t="n">
        <v>193</v>
      </c>
      <c r="D316" t="n">
        <v>192</v>
      </c>
      <c r="E316" t="n">
        <v>28370.06</v>
      </c>
      <c r="F316" t="n">
        <v>8</v>
      </c>
      <c r="G316" t="n">
        <v>192</v>
      </c>
      <c r="H316" t="n">
        <v>3415.77</v>
      </c>
      <c r="I316" t="n">
        <v>192</v>
      </c>
      <c r="J316" t="n">
        <v>791</v>
      </c>
    </row>
    <row r="317">
      <c r="A317" s="19" t="n">
        <v>43070</v>
      </c>
      <c r="B317" t="inlineStr">
        <is>
          <t>SE</t>
        </is>
      </c>
      <c r="C317" t="n">
        <v>20</v>
      </c>
      <c r="D317" t="n">
        <v>20</v>
      </c>
      <c r="E317" t="n">
        <v>4051.92</v>
      </c>
      <c r="F317" t="n">
        <v>3</v>
      </c>
      <c r="G317" t="n">
        <v>20</v>
      </c>
      <c r="H317" t="n">
        <v>489.96</v>
      </c>
      <c r="I317" t="n">
        <v>20</v>
      </c>
      <c r="J317" t="n">
        <v>86</v>
      </c>
    </row>
    <row r="318">
      <c r="A318" s="19" t="n">
        <v>43070</v>
      </c>
      <c r="B318" t="inlineStr">
        <is>
          <t>SP</t>
        </is>
      </c>
      <c r="C318" t="n">
        <v>2357</v>
      </c>
      <c r="D318" t="n">
        <v>2295</v>
      </c>
      <c r="E318" t="n">
        <v>313102.51</v>
      </c>
      <c r="F318" t="n">
        <v>72</v>
      </c>
      <c r="G318" t="n">
        <v>2295</v>
      </c>
      <c r="H318" t="n">
        <v>23453.98</v>
      </c>
      <c r="I318" t="n">
        <v>2336</v>
      </c>
      <c r="J318" t="n">
        <v>9832</v>
      </c>
    </row>
    <row r="319">
      <c r="A319" s="19" t="n">
        <v>43070</v>
      </c>
      <c r="B319" t="inlineStr">
        <is>
          <t>TO</t>
        </is>
      </c>
      <c r="C319" t="n">
        <v>14</v>
      </c>
      <c r="D319" t="n">
        <v>14</v>
      </c>
      <c r="E319" t="n">
        <v>1892.16</v>
      </c>
      <c r="F319" t="n">
        <v>0</v>
      </c>
      <c r="G319" t="n">
        <v>14</v>
      </c>
      <c r="H319" t="n">
        <v>265.1</v>
      </c>
      <c r="I319" t="n">
        <v>14</v>
      </c>
      <c r="J319" t="n">
        <v>60</v>
      </c>
    </row>
    <row r="320">
      <c r="A320" s="19" t="n">
        <v>43101</v>
      </c>
      <c r="B320" t="inlineStr">
        <is>
          <t>AC</t>
        </is>
      </c>
      <c r="C320" t="n">
        <v>6</v>
      </c>
      <c r="D320" t="n">
        <v>6</v>
      </c>
      <c r="E320" t="n">
        <v>1157.89</v>
      </c>
      <c r="F320" t="n">
        <v>0</v>
      </c>
      <c r="G320" t="n">
        <v>6</v>
      </c>
      <c r="H320" t="n">
        <v>112.46</v>
      </c>
      <c r="I320" t="n">
        <v>6</v>
      </c>
      <c r="J320" t="n">
        <v>25</v>
      </c>
    </row>
    <row r="321">
      <c r="A321" s="19" t="n">
        <v>43101</v>
      </c>
      <c r="B321" t="inlineStr">
        <is>
          <t>AL</t>
        </is>
      </c>
      <c r="C321" t="n">
        <v>37</v>
      </c>
      <c r="D321" t="n">
        <v>36</v>
      </c>
      <c r="E321" t="n">
        <v>6218.42</v>
      </c>
      <c r="F321" t="n">
        <v>12</v>
      </c>
      <c r="G321" t="n">
        <v>36</v>
      </c>
      <c r="H321" t="n">
        <v>1003.52</v>
      </c>
      <c r="I321" t="n">
        <v>37</v>
      </c>
      <c r="J321" t="n">
        <v>125</v>
      </c>
    </row>
    <row r="322">
      <c r="A322" s="19" t="n">
        <v>43101</v>
      </c>
      <c r="B322" t="inlineStr">
        <is>
          <t>AM</t>
        </is>
      </c>
      <c r="C322" t="n">
        <v>12</v>
      </c>
      <c r="D322" t="n">
        <v>12</v>
      </c>
      <c r="E322" t="n">
        <v>3433.46</v>
      </c>
      <c r="F322" t="n">
        <v>0</v>
      </c>
      <c r="G322" t="n">
        <v>12</v>
      </c>
      <c r="H322" t="n">
        <v>375.17</v>
      </c>
      <c r="I322" t="n">
        <v>12</v>
      </c>
      <c r="J322" t="n">
        <v>42</v>
      </c>
    </row>
    <row r="323">
      <c r="A323" s="19" t="n">
        <v>43101</v>
      </c>
      <c r="B323" t="inlineStr">
        <is>
          <t>AP</t>
        </is>
      </c>
      <c r="C323" t="n">
        <v>11</v>
      </c>
      <c r="D323" t="n">
        <v>11</v>
      </c>
      <c r="E323" t="n">
        <v>2788.74</v>
      </c>
      <c r="F323" t="n">
        <v>0</v>
      </c>
      <c r="G323" t="n">
        <v>11</v>
      </c>
      <c r="H323" t="n">
        <v>274.34</v>
      </c>
      <c r="I323" t="n">
        <v>11</v>
      </c>
      <c r="J323" t="n">
        <v>42</v>
      </c>
    </row>
    <row r="324">
      <c r="A324" s="19" t="n">
        <v>43101</v>
      </c>
      <c r="B324" t="inlineStr">
        <is>
          <t>BA</t>
        </is>
      </c>
      <c r="C324" t="n">
        <v>239</v>
      </c>
      <c r="D324" t="n">
        <v>228</v>
      </c>
      <c r="E324" t="n">
        <v>43494.59</v>
      </c>
      <c r="F324" t="n">
        <v>15</v>
      </c>
      <c r="G324" t="n">
        <v>228</v>
      </c>
      <c r="H324" t="n">
        <v>4322.7</v>
      </c>
      <c r="I324" t="n">
        <v>233</v>
      </c>
      <c r="J324" t="n">
        <v>875</v>
      </c>
    </row>
    <row r="325">
      <c r="A325" s="19" t="n">
        <v>43101</v>
      </c>
      <c r="B325" t="inlineStr">
        <is>
          <t>CE</t>
        </is>
      </c>
      <c r="C325" t="n">
        <v>90</v>
      </c>
      <c r="D325" t="n">
        <v>77</v>
      </c>
      <c r="E325" t="n">
        <v>14757.26</v>
      </c>
      <c r="F325" t="n">
        <v>9</v>
      </c>
      <c r="G325" t="n">
        <v>77</v>
      </c>
      <c r="H325" t="n">
        <v>1904.79</v>
      </c>
      <c r="I325" t="n">
        <v>86</v>
      </c>
      <c r="J325" t="n">
        <v>314</v>
      </c>
    </row>
    <row r="326">
      <c r="A326" s="19" t="n">
        <v>43101</v>
      </c>
      <c r="B326" t="inlineStr">
        <is>
          <t>DF</t>
        </is>
      </c>
      <c r="C326" t="n">
        <v>138</v>
      </c>
      <c r="D326" t="n">
        <v>135</v>
      </c>
      <c r="E326" t="n">
        <v>20353.35</v>
      </c>
      <c r="F326" t="n">
        <v>4</v>
      </c>
      <c r="G326" t="n">
        <v>135</v>
      </c>
      <c r="H326" t="n">
        <v>1736.34</v>
      </c>
      <c r="I326" t="n">
        <v>137</v>
      </c>
      <c r="J326" t="n">
        <v>550</v>
      </c>
    </row>
    <row r="327">
      <c r="A327" s="19" t="n">
        <v>43101</v>
      </c>
      <c r="B327" t="inlineStr">
        <is>
          <t>ES</t>
        </is>
      </c>
      <c r="C327" t="n">
        <v>147</v>
      </c>
      <c r="D327" t="n">
        <v>145</v>
      </c>
      <c r="E327" t="n">
        <v>23528.22</v>
      </c>
      <c r="F327" t="n">
        <v>14</v>
      </c>
      <c r="G327" t="n">
        <v>145</v>
      </c>
      <c r="H327" t="n">
        <v>2402.94</v>
      </c>
      <c r="I327" t="n">
        <v>146</v>
      </c>
      <c r="J327" t="n">
        <v>621</v>
      </c>
    </row>
    <row r="328">
      <c r="A328" s="19" t="n">
        <v>43101</v>
      </c>
      <c r="B328" t="inlineStr">
        <is>
          <t>GO</t>
        </is>
      </c>
      <c r="C328" t="n">
        <v>146</v>
      </c>
      <c r="D328" t="n">
        <v>144</v>
      </c>
      <c r="E328" t="n">
        <v>19959.5</v>
      </c>
      <c r="F328" t="n">
        <v>7</v>
      </c>
      <c r="G328" t="n">
        <v>144</v>
      </c>
      <c r="H328" t="n">
        <v>2314.52</v>
      </c>
      <c r="I328" t="n">
        <v>145</v>
      </c>
      <c r="J328" t="n">
        <v>580</v>
      </c>
    </row>
    <row r="329">
      <c r="A329" s="19" t="n">
        <v>43101</v>
      </c>
      <c r="B329" t="inlineStr">
        <is>
          <t>MA</t>
        </is>
      </c>
      <c r="C329" t="n">
        <v>57</v>
      </c>
      <c r="D329" t="n">
        <v>55</v>
      </c>
      <c r="E329" t="n">
        <v>11090.63</v>
      </c>
      <c r="F329" t="n">
        <v>4</v>
      </c>
      <c r="G329" t="n">
        <v>55</v>
      </c>
      <c r="H329" t="n">
        <v>1082.75</v>
      </c>
      <c r="I329" t="n">
        <v>56</v>
      </c>
      <c r="J329" t="n">
        <v>224</v>
      </c>
    </row>
    <row r="330">
      <c r="A330" s="19" t="n">
        <v>43101</v>
      </c>
      <c r="B330" t="inlineStr">
        <is>
          <t>MG</t>
        </is>
      </c>
      <c r="C330" t="n">
        <v>863</v>
      </c>
      <c r="D330" t="n">
        <v>846</v>
      </c>
      <c r="E330" t="n">
        <v>132577.79</v>
      </c>
      <c r="F330" t="n">
        <v>26</v>
      </c>
      <c r="G330" t="n">
        <v>846</v>
      </c>
      <c r="H330" t="n">
        <v>10806.48</v>
      </c>
      <c r="I330" t="n">
        <v>858</v>
      </c>
      <c r="J330" t="n">
        <v>3548</v>
      </c>
    </row>
    <row r="331">
      <c r="A331" s="19" t="n">
        <v>43101</v>
      </c>
      <c r="B331" t="inlineStr">
        <is>
          <t>MS</t>
        </is>
      </c>
      <c r="C331" t="n">
        <v>70</v>
      </c>
      <c r="D331" t="n">
        <v>70</v>
      </c>
      <c r="E331" t="n">
        <v>12029.88</v>
      </c>
      <c r="F331" t="n">
        <v>3</v>
      </c>
      <c r="G331" t="n">
        <v>70</v>
      </c>
      <c r="H331" t="n">
        <v>1073.75</v>
      </c>
      <c r="I331" t="n">
        <v>70</v>
      </c>
      <c r="J331" t="n">
        <v>302</v>
      </c>
    </row>
    <row r="332">
      <c r="A332" s="19" t="n">
        <v>43101</v>
      </c>
      <c r="B332" t="inlineStr">
        <is>
          <t>MT</t>
        </is>
      </c>
      <c r="C332" t="n">
        <v>85</v>
      </c>
      <c r="D332" t="n">
        <v>83</v>
      </c>
      <c r="E332" t="n">
        <v>12766.27</v>
      </c>
      <c r="F332" t="n">
        <v>3</v>
      </c>
      <c r="G332" t="n">
        <v>83</v>
      </c>
      <c r="H332" t="n">
        <v>1599.24</v>
      </c>
      <c r="I332" t="n">
        <v>84</v>
      </c>
      <c r="J332" t="n">
        <v>340</v>
      </c>
    </row>
    <row r="333">
      <c r="A333" s="19" t="n">
        <v>43101</v>
      </c>
      <c r="B333" t="inlineStr">
        <is>
          <t>PA</t>
        </is>
      </c>
      <c r="C333" t="n">
        <v>70</v>
      </c>
      <c r="D333" t="n">
        <v>69</v>
      </c>
      <c r="E333" t="n">
        <v>16733.8</v>
      </c>
      <c r="F333" t="n">
        <v>6</v>
      </c>
      <c r="G333" t="n">
        <v>69</v>
      </c>
      <c r="H333" t="n">
        <v>1786.2</v>
      </c>
      <c r="I333" t="n">
        <v>69</v>
      </c>
      <c r="J333" t="n">
        <v>257</v>
      </c>
    </row>
    <row r="334">
      <c r="A334" s="19" t="n">
        <v>43101</v>
      </c>
      <c r="B334" t="inlineStr">
        <is>
          <t>PB</t>
        </is>
      </c>
      <c r="C334" t="n">
        <v>31</v>
      </c>
      <c r="D334" t="n">
        <v>31</v>
      </c>
      <c r="E334" t="n">
        <v>8022.52</v>
      </c>
      <c r="F334" t="n">
        <v>4</v>
      </c>
      <c r="G334" t="n">
        <v>31</v>
      </c>
      <c r="H334" t="n">
        <v>686.48</v>
      </c>
      <c r="I334" t="n">
        <v>31</v>
      </c>
      <c r="J334" t="n">
        <v>137</v>
      </c>
    </row>
    <row r="335">
      <c r="A335" s="19" t="n">
        <v>43101</v>
      </c>
      <c r="B335" t="inlineStr">
        <is>
          <t>PE</t>
        </is>
      </c>
      <c r="C335" t="n">
        <v>104</v>
      </c>
      <c r="D335" t="n">
        <v>102</v>
      </c>
      <c r="E335" t="n">
        <v>17198.16</v>
      </c>
      <c r="F335" t="n">
        <v>8</v>
      </c>
      <c r="G335" t="n">
        <v>102</v>
      </c>
      <c r="H335" t="n">
        <v>1962.23</v>
      </c>
      <c r="I335" t="n">
        <v>103</v>
      </c>
      <c r="J335" t="n">
        <v>418</v>
      </c>
    </row>
    <row r="336">
      <c r="A336" s="19" t="n">
        <v>43101</v>
      </c>
      <c r="B336" t="inlineStr">
        <is>
          <t>PI</t>
        </is>
      </c>
      <c r="C336" t="n">
        <v>48</v>
      </c>
      <c r="D336" t="n">
        <v>47</v>
      </c>
      <c r="E336" t="n">
        <v>8577.280000000001</v>
      </c>
      <c r="F336" t="n">
        <v>5</v>
      </c>
      <c r="G336" t="n">
        <v>47</v>
      </c>
      <c r="H336" t="n">
        <v>913.2</v>
      </c>
      <c r="I336" t="n">
        <v>48</v>
      </c>
      <c r="J336" t="n">
        <v>190</v>
      </c>
    </row>
    <row r="337">
      <c r="A337" s="19" t="n">
        <v>43101</v>
      </c>
      <c r="B337" t="inlineStr">
        <is>
          <t>PR</t>
        </is>
      </c>
      <c r="C337" t="n">
        <v>378</v>
      </c>
      <c r="D337" t="n">
        <v>371</v>
      </c>
      <c r="E337" t="n">
        <v>51705.11</v>
      </c>
      <c r="F337" t="n">
        <v>6</v>
      </c>
      <c r="G337" t="n">
        <v>371</v>
      </c>
      <c r="H337" t="n">
        <v>5103.31</v>
      </c>
      <c r="I337" t="n">
        <v>375</v>
      </c>
      <c r="J337" t="n">
        <v>1560</v>
      </c>
    </row>
    <row r="338">
      <c r="A338" s="19" t="n">
        <v>43101</v>
      </c>
      <c r="B338" t="inlineStr">
        <is>
          <t>RJ</t>
        </is>
      </c>
      <c r="C338" t="n">
        <v>893</v>
      </c>
      <c r="D338" t="n">
        <v>850</v>
      </c>
      <c r="E338" t="n">
        <v>137340.09</v>
      </c>
      <c r="F338" t="n">
        <v>111</v>
      </c>
      <c r="G338" t="n">
        <v>850</v>
      </c>
      <c r="H338" t="n">
        <v>15607.29</v>
      </c>
      <c r="I338" t="n">
        <v>878</v>
      </c>
      <c r="J338" t="n">
        <v>3297</v>
      </c>
    </row>
    <row r="339">
      <c r="A339" s="19" t="n">
        <v>43101</v>
      </c>
      <c r="B339" t="inlineStr">
        <is>
          <t>RN</t>
        </is>
      </c>
      <c r="C339" t="n">
        <v>46</v>
      </c>
      <c r="D339" t="n">
        <v>42</v>
      </c>
      <c r="E339" t="n">
        <v>6833.55</v>
      </c>
      <c r="F339" t="n">
        <v>1</v>
      </c>
      <c r="G339" t="n">
        <v>42</v>
      </c>
      <c r="H339" t="n">
        <v>645.3200000000001</v>
      </c>
      <c r="I339" t="n">
        <v>45</v>
      </c>
      <c r="J339" t="n">
        <v>193</v>
      </c>
    </row>
    <row r="340">
      <c r="A340" s="19" t="n">
        <v>43101</v>
      </c>
      <c r="B340" t="inlineStr">
        <is>
          <t>RO</t>
        </is>
      </c>
      <c r="C340" t="n">
        <v>20</v>
      </c>
      <c r="D340" t="n">
        <v>20</v>
      </c>
      <c r="E340" t="n">
        <v>3090.1</v>
      </c>
      <c r="F340" t="n">
        <v>1</v>
      </c>
      <c r="G340" t="n">
        <v>20</v>
      </c>
      <c r="H340" t="n">
        <v>494.37</v>
      </c>
      <c r="I340" t="n">
        <v>20</v>
      </c>
      <c r="J340" t="n">
        <v>82</v>
      </c>
    </row>
    <row r="341">
      <c r="A341" s="19" t="n">
        <v>43101</v>
      </c>
      <c r="B341" t="inlineStr">
        <is>
          <t>RR</t>
        </is>
      </c>
      <c r="C341" t="n">
        <v>2</v>
      </c>
      <c r="D341" t="n">
        <v>1</v>
      </c>
      <c r="E341" t="n">
        <v>162.79</v>
      </c>
      <c r="F341" t="n">
        <v>0</v>
      </c>
      <c r="G341" t="n">
        <v>1</v>
      </c>
      <c r="H341" t="n">
        <v>25.01</v>
      </c>
      <c r="I341" t="n">
        <v>2</v>
      </c>
      <c r="J341" t="n">
        <v>5</v>
      </c>
    </row>
    <row r="342">
      <c r="A342" s="19" t="n">
        <v>43101</v>
      </c>
      <c r="B342" t="inlineStr">
        <is>
          <t>RS</t>
        </is>
      </c>
      <c r="C342" t="n">
        <v>373</v>
      </c>
      <c r="D342" t="n">
        <v>367</v>
      </c>
      <c r="E342" t="n">
        <v>54809.28</v>
      </c>
      <c r="F342" t="n">
        <v>30</v>
      </c>
      <c r="G342" t="n">
        <v>367</v>
      </c>
      <c r="H342" t="n">
        <v>6978.06</v>
      </c>
      <c r="I342" t="n">
        <v>372</v>
      </c>
      <c r="J342" t="n">
        <v>1497</v>
      </c>
    </row>
    <row r="343">
      <c r="A343" s="19" t="n">
        <v>43101</v>
      </c>
      <c r="B343" t="inlineStr">
        <is>
          <t>SC</t>
        </is>
      </c>
      <c r="C343" t="n">
        <v>314</v>
      </c>
      <c r="D343" t="n">
        <v>311</v>
      </c>
      <c r="E343" t="n">
        <v>44495.73</v>
      </c>
      <c r="F343" t="n">
        <v>31</v>
      </c>
      <c r="G343" t="n">
        <v>311</v>
      </c>
      <c r="H343" t="n">
        <v>5985.46</v>
      </c>
      <c r="I343" t="n">
        <v>308</v>
      </c>
      <c r="J343" t="n">
        <v>1220</v>
      </c>
    </row>
    <row r="344">
      <c r="A344" s="19" t="n">
        <v>43101</v>
      </c>
      <c r="B344" t="inlineStr">
        <is>
          <t>SE</t>
        </is>
      </c>
      <c r="C344" t="n">
        <v>20</v>
      </c>
      <c r="D344" t="n">
        <v>19</v>
      </c>
      <c r="E344" t="n">
        <v>3689.27</v>
      </c>
      <c r="F344" t="n">
        <v>1</v>
      </c>
      <c r="G344" t="n">
        <v>19</v>
      </c>
      <c r="H344" t="n">
        <v>371.02</v>
      </c>
      <c r="I344" t="n">
        <v>20</v>
      </c>
      <c r="J344" t="n">
        <v>84</v>
      </c>
    </row>
    <row r="345">
      <c r="A345" s="19" t="n">
        <v>43101</v>
      </c>
      <c r="B345" t="inlineStr">
        <is>
          <t>SP</t>
        </is>
      </c>
      <c r="C345" t="n">
        <v>3052</v>
      </c>
      <c r="D345" t="n">
        <v>2975</v>
      </c>
      <c r="E345" t="n">
        <v>418292.49</v>
      </c>
      <c r="F345" t="n">
        <v>102</v>
      </c>
      <c r="G345" t="n">
        <v>2975</v>
      </c>
      <c r="H345" t="n">
        <v>29672.48</v>
      </c>
      <c r="I345" t="n">
        <v>3032</v>
      </c>
      <c r="J345" t="n">
        <v>12504</v>
      </c>
    </row>
    <row r="346">
      <c r="A346" s="19" t="n">
        <v>43101</v>
      </c>
      <c r="B346" t="inlineStr">
        <is>
          <t>TO</t>
        </is>
      </c>
      <c r="C346" t="n">
        <v>17</v>
      </c>
      <c r="D346" t="n">
        <v>16</v>
      </c>
      <c r="E346" t="n">
        <v>2781.29</v>
      </c>
      <c r="F346" t="n">
        <v>0</v>
      </c>
      <c r="G346" t="n">
        <v>16</v>
      </c>
      <c r="H346" t="n">
        <v>295.74</v>
      </c>
      <c r="I346" t="n">
        <v>17</v>
      </c>
      <c r="J346" t="n">
        <v>68</v>
      </c>
    </row>
    <row r="347">
      <c r="A347" s="19" t="n">
        <v>43132</v>
      </c>
      <c r="B347" t="inlineStr">
        <is>
          <t>AC</t>
        </is>
      </c>
      <c r="C347" t="n">
        <v>3</v>
      </c>
      <c r="D347" t="n">
        <v>3</v>
      </c>
      <c r="E347" t="n">
        <v>299.22</v>
      </c>
      <c r="F347" t="n">
        <v>0</v>
      </c>
      <c r="G347" t="n">
        <v>3</v>
      </c>
      <c r="H347" t="n">
        <v>69.41</v>
      </c>
      <c r="I347" t="n">
        <v>3</v>
      </c>
      <c r="J347" t="n">
        <v>14</v>
      </c>
    </row>
    <row r="348">
      <c r="A348" s="19" t="n">
        <v>43132</v>
      </c>
      <c r="B348" t="inlineStr">
        <is>
          <t>AL</t>
        </is>
      </c>
      <c r="C348" t="n">
        <v>27</v>
      </c>
      <c r="D348" t="n">
        <v>27</v>
      </c>
      <c r="E348" t="n">
        <v>5680.85</v>
      </c>
      <c r="F348" t="n">
        <v>10</v>
      </c>
      <c r="G348" t="n">
        <v>27</v>
      </c>
      <c r="H348" t="n">
        <v>737.55</v>
      </c>
      <c r="I348" t="n">
        <v>26</v>
      </c>
      <c r="J348" t="n">
        <v>84</v>
      </c>
    </row>
    <row r="349">
      <c r="A349" s="19" t="n">
        <v>43132</v>
      </c>
      <c r="B349" t="inlineStr">
        <is>
          <t>AM</t>
        </is>
      </c>
      <c r="C349" t="n">
        <v>8</v>
      </c>
      <c r="D349" t="n">
        <v>8</v>
      </c>
      <c r="E349" t="n">
        <v>2486.58</v>
      </c>
      <c r="F349" t="n">
        <v>1</v>
      </c>
      <c r="G349" t="n">
        <v>8</v>
      </c>
      <c r="H349" t="n">
        <v>264.74</v>
      </c>
      <c r="I349" t="n">
        <v>8</v>
      </c>
      <c r="J349" t="n">
        <v>26</v>
      </c>
    </row>
    <row r="350">
      <c r="A350" s="19" t="n">
        <v>43132</v>
      </c>
      <c r="B350" t="inlineStr">
        <is>
          <t>AP</t>
        </is>
      </c>
      <c r="C350" t="n">
        <v>2</v>
      </c>
      <c r="D350" t="n">
        <v>2</v>
      </c>
      <c r="E350" t="n">
        <v>1086.31</v>
      </c>
      <c r="F350" t="n">
        <v>0</v>
      </c>
      <c r="G350" t="n">
        <v>2</v>
      </c>
      <c r="H350" t="n">
        <v>44.29</v>
      </c>
      <c r="I350" t="n">
        <v>2</v>
      </c>
      <c r="J350" t="n">
        <v>8</v>
      </c>
    </row>
    <row r="351">
      <c r="A351" s="19" t="n">
        <v>43132</v>
      </c>
      <c r="B351" t="inlineStr">
        <is>
          <t>BA</t>
        </is>
      </c>
      <c r="C351" t="n">
        <v>214</v>
      </c>
      <c r="D351" t="n">
        <v>208</v>
      </c>
      <c r="E351" t="n">
        <v>37593.94</v>
      </c>
      <c r="F351" t="n">
        <v>40</v>
      </c>
      <c r="G351" t="n">
        <v>208</v>
      </c>
      <c r="H351" t="n">
        <v>4845.17</v>
      </c>
      <c r="I351" t="n">
        <v>214</v>
      </c>
      <c r="J351" t="n">
        <v>767</v>
      </c>
    </row>
    <row r="352">
      <c r="A352" s="19" t="n">
        <v>43132</v>
      </c>
      <c r="B352" t="inlineStr">
        <is>
          <t>CE</t>
        </is>
      </c>
      <c r="C352" t="n">
        <v>88</v>
      </c>
      <c r="D352" t="n">
        <v>84</v>
      </c>
      <c r="E352" t="n">
        <v>12669.06</v>
      </c>
      <c r="F352" t="n">
        <v>33</v>
      </c>
      <c r="G352" t="n">
        <v>84</v>
      </c>
      <c r="H352" t="n">
        <v>2575.76</v>
      </c>
      <c r="I352" t="n">
        <v>88</v>
      </c>
      <c r="J352" t="n">
        <v>258</v>
      </c>
    </row>
    <row r="353">
      <c r="A353" s="19" t="n">
        <v>43132</v>
      </c>
      <c r="B353" t="inlineStr">
        <is>
          <t>DF</t>
        </is>
      </c>
      <c r="C353" t="n">
        <v>172</v>
      </c>
      <c r="D353" t="n">
        <v>170</v>
      </c>
      <c r="E353" t="n">
        <v>24650.39</v>
      </c>
      <c r="F353" t="n">
        <v>20</v>
      </c>
      <c r="G353" t="n">
        <v>170</v>
      </c>
      <c r="H353" t="n">
        <v>3205.69</v>
      </c>
      <c r="I353" t="n">
        <v>171</v>
      </c>
      <c r="J353" t="n">
        <v>654</v>
      </c>
    </row>
    <row r="354">
      <c r="A354" s="19" t="n">
        <v>43132</v>
      </c>
      <c r="B354" t="inlineStr">
        <is>
          <t>ES</t>
        </is>
      </c>
      <c r="C354" t="n">
        <v>152</v>
      </c>
      <c r="D354" t="n">
        <v>149</v>
      </c>
      <c r="E354" t="n">
        <v>20330.98</v>
      </c>
      <c r="F354" t="n">
        <v>18</v>
      </c>
      <c r="G354" t="n">
        <v>149</v>
      </c>
      <c r="H354" t="n">
        <v>2893.22</v>
      </c>
      <c r="I354" t="n">
        <v>150</v>
      </c>
      <c r="J354" t="n">
        <v>588</v>
      </c>
    </row>
    <row r="355">
      <c r="A355" s="19" t="n">
        <v>43132</v>
      </c>
      <c r="B355" t="inlineStr">
        <is>
          <t>GO</t>
        </is>
      </c>
      <c r="C355" t="n">
        <v>149</v>
      </c>
      <c r="D355" t="n">
        <v>146</v>
      </c>
      <c r="E355" t="n">
        <v>21259.31</v>
      </c>
      <c r="F355" t="n">
        <v>23</v>
      </c>
      <c r="G355" t="n">
        <v>146</v>
      </c>
      <c r="H355" t="n">
        <v>2932.12</v>
      </c>
      <c r="I355" t="n">
        <v>146</v>
      </c>
      <c r="J355" t="n">
        <v>550</v>
      </c>
    </row>
    <row r="356">
      <c r="A356" s="19" t="n">
        <v>43132</v>
      </c>
      <c r="B356" t="inlineStr">
        <is>
          <t>MA</t>
        </is>
      </c>
      <c r="C356" t="n">
        <v>56</v>
      </c>
      <c r="D356" t="n">
        <v>55</v>
      </c>
      <c r="E356" t="n">
        <v>12459.92</v>
      </c>
      <c r="F356" t="n">
        <v>18</v>
      </c>
      <c r="G356" t="n">
        <v>55</v>
      </c>
      <c r="H356" t="n">
        <v>1610.05</v>
      </c>
      <c r="I356" t="n">
        <v>56</v>
      </c>
      <c r="J356" t="n">
        <v>184</v>
      </c>
    </row>
    <row r="357">
      <c r="A357" s="19" t="n">
        <v>43132</v>
      </c>
      <c r="B357" t="inlineStr">
        <is>
          <t>MG</t>
        </is>
      </c>
      <c r="C357" t="n">
        <v>804</v>
      </c>
      <c r="D357" t="n">
        <v>790</v>
      </c>
      <c r="E357" t="n">
        <v>124114.83</v>
      </c>
      <c r="F357" t="n">
        <v>66</v>
      </c>
      <c r="G357" t="n">
        <v>790</v>
      </c>
      <c r="H357" t="n">
        <v>12451.66</v>
      </c>
      <c r="I357" t="n">
        <v>796</v>
      </c>
      <c r="J357" t="n">
        <v>3185</v>
      </c>
    </row>
    <row r="358">
      <c r="A358" s="19" t="n">
        <v>43132</v>
      </c>
      <c r="B358" t="inlineStr">
        <is>
          <t>MS</t>
        </is>
      </c>
      <c r="C358" t="n">
        <v>64</v>
      </c>
      <c r="D358" t="n">
        <v>64</v>
      </c>
      <c r="E358" t="n">
        <v>10126.16</v>
      </c>
      <c r="F358" t="n">
        <v>13</v>
      </c>
      <c r="G358" t="n">
        <v>64</v>
      </c>
      <c r="H358" t="n">
        <v>1356.31</v>
      </c>
      <c r="I358" t="n">
        <v>64</v>
      </c>
      <c r="J358" t="n">
        <v>244</v>
      </c>
    </row>
    <row r="359">
      <c r="A359" s="19" t="n">
        <v>43132</v>
      </c>
      <c r="B359" t="inlineStr">
        <is>
          <t>MT</t>
        </is>
      </c>
      <c r="C359" t="n">
        <v>67</v>
      </c>
      <c r="D359" t="n">
        <v>67</v>
      </c>
      <c r="E359" t="n">
        <v>9847.280000000001</v>
      </c>
      <c r="F359" t="n">
        <v>8</v>
      </c>
      <c r="G359" t="n">
        <v>67</v>
      </c>
      <c r="H359" t="n">
        <v>1486.17</v>
      </c>
      <c r="I359" t="n">
        <v>67</v>
      </c>
      <c r="J359" t="n">
        <v>268</v>
      </c>
    </row>
    <row r="360">
      <c r="A360" s="19" t="n">
        <v>43132</v>
      </c>
      <c r="B360" t="inlineStr">
        <is>
          <t>PA</t>
        </is>
      </c>
      <c r="C360" t="n">
        <v>58</v>
      </c>
      <c r="D360" t="n">
        <v>57</v>
      </c>
      <c r="E360" t="n">
        <v>10947.18</v>
      </c>
      <c r="F360" t="n">
        <v>7</v>
      </c>
      <c r="G360" t="n">
        <v>57</v>
      </c>
      <c r="H360" t="n">
        <v>1687.95</v>
      </c>
      <c r="I360" t="n">
        <v>57</v>
      </c>
      <c r="J360" t="n">
        <v>220</v>
      </c>
    </row>
    <row r="361">
      <c r="A361" s="19" t="n">
        <v>43132</v>
      </c>
      <c r="B361" t="inlineStr">
        <is>
          <t>PB</t>
        </is>
      </c>
      <c r="C361" t="n">
        <v>35</v>
      </c>
      <c r="D361" t="n">
        <v>35</v>
      </c>
      <c r="E361" t="n">
        <v>6342.92</v>
      </c>
      <c r="F361" t="n">
        <v>3</v>
      </c>
      <c r="G361" t="n">
        <v>35</v>
      </c>
      <c r="H361" t="n">
        <v>675.3</v>
      </c>
      <c r="I361" t="n">
        <v>35</v>
      </c>
      <c r="J361" t="n">
        <v>135</v>
      </c>
    </row>
    <row r="362">
      <c r="A362" s="19" t="n">
        <v>43132</v>
      </c>
      <c r="B362" t="inlineStr">
        <is>
          <t>PE</t>
        </is>
      </c>
      <c r="C362" t="n">
        <v>125</v>
      </c>
      <c r="D362" t="n">
        <v>121</v>
      </c>
      <c r="E362" t="n">
        <v>20109.97</v>
      </c>
      <c r="F362" t="n">
        <v>14</v>
      </c>
      <c r="G362" t="n">
        <v>121</v>
      </c>
      <c r="H362" t="n">
        <v>2522.03</v>
      </c>
      <c r="I362" t="n">
        <v>121</v>
      </c>
      <c r="J362" t="n">
        <v>486</v>
      </c>
    </row>
    <row r="363">
      <c r="A363" s="19" t="n">
        <v>43132</v>
      </c>
      <c r="B363" t="inlineStr">
        <is>
          <t>PI</t>
        </is>
      </c>
      <c r="C363" t="n">
        <v>34</v>
      </c>
      <c r="D363" t="n">
        <v>32</v>
      </c>
      <c r="E363" t="n">
        <v>5658.96</v>
      </c>
      <c r="F363" t="n">
        <v>7</v>
      </c>
      <c r="G363" t="n">
        <v>32</v>
      </c>
      <c r="H363" t="n">
        <v>729.55</v>
      </c>
      <c r="I363" t="n">
        <v>34</v>
      </c>
      <c r="J363" t="n">
        <v>119</v>
      </c>
    </row>
    <row r="364">
      <c r="A364" s="19" t="n">
        <v>43132</v>
      </c>
      <c r="B364" t="inlineStr">
        <is>
          <t>PR</t>
        </is>
      </c>
      <c r="C364" t="n">
        <v>342</v>
      </c>
      <c r="D364" t="n">
        <v>335</v>
      </c>
      <c r="E364" t="n">
        <v>51598.61</v>
      </c>
      <c r="F364" t="n">
        <v>30</v>
      </c>
      <c r="G364" t="n">
        <v>335</v>
      </c>
      <c r="H364" t="n">
        <v>4951.57</v>
      </c>
      <c r="I364" t="n">
        <v>340</v>
      </c>
      <c r="J364" t="n">
        <v>1375</v>
      </c>
    </row>
    <row r="365">
      <c r="A365" s="19" t="n">
        <v>43132</v>
      </c>
      <c r="B365" t="inlineStr">
        <is>
          <t>RJ</t>
        </is>
      </c>
      <c r="C365" t="n">
        <v>922</v>
      </c>
      <c r="D365" t="n">
        <v>879</v>
      </c>
      <c r="E365" t="n">
        <v>130648.53</v>
      </c>
      <c r="F365" t="n">
        <v>299</v>
      </c>
      <c r="G365" t="n">
        <v>879</v>
      </c>
      <c r="H365" t="n">
        <v>20935.96</v>
      </c>
      <c r="I365" t="n">
        <v>910</v>
      </c>
      <c r="J365" t="n">
        <v>2933</v>
      </c>
    </row>
    <row r="366">
      <c r="A366" s="19" t="n">
        <v>43132</v>
      </c>
      <c r="B366" t="inlineStr">
        <is>
          <t>RN</t>
        </is>
      </c>
      <c r="C366" t="n">
        <v>23</v>
      </c>
      <c r="D366" t="n">
        <v>23</v>
      </c>
      <c r="E366" t="n">
        <v>4131.02</v>
      </c>
      <c r="F366" t="n">
        <v>2</v>
      </c>
      <c r="G366" t="n">
        <v>23</v>
      </c>
      <c r="H366" t="n">
        <v>480.73</v>
      </c>
      <c r="I366" t="n">
        <v>23</v>
      </c>
      <c r="J366" t="n">
        <v>101</v>
      </c>
    </row>
    <row r="367">
      <c r="A367" s="19" t="n">
        <v>43132</v>
      </c>
      <c r="B367" t="inlineStr">
        <is>
          <t>RO</t>
        </is>
      </c>
      <c r="C367" t="n">
        <v>14</v>
      </c>
      <c r="D367" t="n">
        <v>13</v>
      </c>
      <c r="E367" t="n">
        <v>2109.97</v>
      </c>
      <c r="F367" t="n">
        <v>0</v>
      </c>
      <c r="G367" t="n">
        <v>13</v>
      </c>
      <c r="H367" t="n">
        <v>277.48</v>
      </c>
      <c r="I367" t="n">
        <v>14</v>
      </c>
      <c r="J367" t="n">
        <v>59</v>
      </c>
    </row>
    <row r="368">
      <c r="A368" s="19" t="n">
        <v>43132</v>
      </c>
      <c r="B368" t="inlineStr">
        <is>
          <t>RR</t>
        </is>
      </c>
      <c r="C368" t="n">
        <v>5</v>
      </c>
      <c r="D368" t="n">
        <v>3</v>
      </c>
      <c r="E368" t="n">
        <v>235.63</v>
      </c>
      <c r="F368" t="n">
        <v>1</v>
      </c>
      <c r="G368" t="n">
        <v>3</v>
      </c>
      <c r="H368" t="n">
        <v>142.72</v>
      </c>
      <c r="I368" t="n">
        <v>5</v>
      </c>
      <c r="J368" t="n">
        <v>11</v>
      </c>
    </row>
    <row r="369">
      <c r="A369" s="19" t="n">
        <v>43132</v>
      </c>
      <c r="B369" t="inlineStr">
        <is>
          <t>RS</t>
        </is>
      </c>
      <c r="C369" t="n">
        <v>368</v>
      </c>
      <c r="D369" t="n">
        <v>363</v>
      </c>
      <c r="E369" t="n">
        <v>54677.47</v>
      </c>
      <c r="F369" t="n">
        <v>48</v>
      </c>
      <c r="G369" t="n">
        <v>363</v>
      </c>
      <c r="H369" t="n">
        <v>7711.07</v>
      </c>
      <c r="I369" t="n">
        <v>366</v>
      </c>
      <c r="J369" t="n">
        <v>1445</v>
      </c>
    </row>
    <row r="370">
      <c r="A370" s="19" t="n">
        <v>43132</v>
      </c>
      <c r="B370" t="inlineStr">
        <is>
          <t>SC</t>
        </is>
      </c>
      <c r="C370" t="n">
        <v>257</v>
      </c>
      <c r="D370" t="n">
        <v>254</v>
      </c>
      <c r="E370" t="n">
        <v>37691.39</v>
      </c>
      <c r="F370" t="n">
        <v>61</v>
      </c>
      <c r="G370" t="n">
        <v>254</v>
      </c>
      <c r="H370" t="n">
        <v>5531.21</v>
      </c>
      <c r="I370" t="n">
        <v>255</v>
      </c>
      <c r="J370" t="n">
        <v>921</v>
      </c>
    </row>
    <row r="371">
      <c r="A371" s="19" t="n">
        <v>43132</v>
      </c>
      <c r="B371" t="inlineStr">
        <is>
          <t>SE</t>
        </is>
      </c>
      <c r="C371" t="n">
        <v>15</v>
      </c>
      <c r="D371" t="n">
        <v>15</v>
      </c>
      <c r="E371" t="n">
        <v>5103.1</v>
      </c>
      <c r="F371" t="n">
        <v>2</v>
      </c>
      <c r="G371" t="n">
        <v>15</v>
      </c>
      <c r="H371" t="n">
        <v>274.88</v>
      </c>
      <c r="I371" t="n">
        <v>15</v>
      </c>
      <c r="J371" t="n">
        <v>66</v>
      </c>
    </row>
    <row r="372">
      <c r="A372" s="19" t="n">
        <v>43132</v>
      </c>
      <c r="B372" t="inlineStr">
        <is>
          <t>SP</t>
        </is>
      </c>
      <c r="C372" t="n">
        <v>2703</v>
      </c>
      <c r="D372" t="n">
        <v>2632</v>
      </c>
      <c r="E372" t="n">
        <v>350950.36</v>
      </c>
      <c r="F372" t="n">
        <v>193</v>
      </c>
      <c r="G372" t="n">
        <v>2632</v>
      </c>
      <c r="H372" t="n">
        <v>30133.56</v>
      </c>
      <c r="I372" t="n">
        <v>2685</v>
      </c>
      <c r="J372" t="n">
        <v>10758</v>
      </c>
    </row>
    <row r="373">
      <c r="A373" s="19" t="n">
        <v>43132</v>
      </c>
      <c r="B373" t="inlineStr">
        <is>
          <t>TO</t>
        </is>
      </c>
      <c r="C373" t="n">
        <v>21</v>
      </c>
      <c r="D373" t="n">
        <v>20</v>
      </c>
      <c r="E373" t="n">
        <v>3358.47</v>
      </c>
      <c r="F373" t="n">
        <v>9</v>
      </c>
      <c r="G373" t="n">
        <v>20</v>
      </c>
      <c r="H373" t="n">
        <v>549.1799999999999</v>
      </c>
      <c r="I373" t="n">
        <v>21</v>
      </c>
      <c r="J373" t="n">
        <v>66</v>
      </c>
    </row>
    <row r="374">
      <c r="A374" s="19" t="n">
        <v>43160</v>
      </c>
      <c r="B374" t="inlineStr">
        <is>
          <t>AC</t>
        </is>
      </c>
      <c r="C374" t="n">
        <v>2</v>
      </c>
      <c r="D374" t="n">
        <v>2</v>
      </c>
      <c r="E374" t="n">
        <v>164.67</v>
      </c>
      <c r="F374" t="n">
        <v>0</v>
      </c>
      <c r="G374" t="n">
        <v>2</v>
      </c>
      <c r="H374" t="n">
        <v>71.3</v>
      </c>
      <c r="I374" t="n">
        <v>2</v>
      </c>
      <c r="J374" t="n">
        <v>6</v>
      </c>
    </row>
    <row r="375">
      <c r="A375" s="19" t="n">
        <v>43160</v>
      </c>
      <c r="B375" t="inlineStr">
        <is>
          <t>AL</t>
        </is>
      </c>
      <c r="C375" t="n">
        <v>30</v>
      </c>
      <c r="D375" t="n">
        <v>27</v>
      </c>
      <c r="E375" t="n">
        <v>7465.31</v>
      </c>
      <c r="F375" t="n">
        <v>9</v>
      </c>
      <c r="G375" t="n">
        <v>27</v>
      </c>
      <c r="H375" t="n">
        <v>656.0599999999999</v>
      </c>
      <c r="I375" t="n">
        <v>30</v>
      </c>
      <c r="J375" t="n">
        <v>103</v>
      </c>
    </row>
    <row r="376">
      <c r="A376" s="19" t="n">
        <v>43160</v>
      </c>
      <c r="B376" t="inlineStr">
        <is>
          <t>AM</t>
        </is>
      </c>
      <c r="C376" t="n">
        <v>9</v>
      </c>
      <c r="D376" t="n">
        <v>8</v>
      </c>
      <c r="E376" t="n">
        <v>1434.17</v>
      </c>
      <c r="F376" t="n">
        <v>2</v>
      </c>
      <c r="G376" t="n">
        <v>8</v>
      </c>
      <c r="H376" t="n">
        <v>313.04</v>
      </c>
      <c r="I376" t="n">
        <v>8</v>
      </c>
      <c r="J376" t="n">
        <v>35</v>
      </c>
    </row>
    <row r="377">
      <c r="A377" s="19" t="n">
        <v>43160</v>
      </c>
      <c r="B377" t="inlineStr">
        <is>
          <t>AP</t>
        </is>
      </c>
      <c r="C377" t="n">
        <v>5</v>
      </c>
      <c r="D377" t="n">
        <v>5</v>
      </c>
      <c r="E377" t="n">
        <v>704.54</v>
      </c>
      <c r="F377" t="n">
        <v>0</v>
      </c>
      <c r="G377" t="n">
        <v>5</v>
      </c>
      <c r="H377" t="n">
        <v>160.97</v>
      </c>
      <c r="I377" t="n">
        <v>5</v>
      </c>
      <c r="J377" t="n">
        <v>18</v>
      </c>
    </row>
    <row r="378">
      <c r="A378" s="19" t="n">
        <v>43160</v>
      </c>
      <c r="B378" t="inlineStr">
        <is>
          <t>BA</t>
        </is>
      </c>
      <c r="C378" t="n">
        <v>249</v>
      </c>
      <c r="D378" t="n">
        <v>235</v>
      </c>
      <c r="E378" t="n">
        <v>43214.86</v>
      </c>
      <c r="F378" t="n">
        <v>74</v>
      </c>
      <c r="G378" t="n">
        <v>235</v>
      </c>
      <c r="H378" t="n">
        <v>5479.86</v>
      </c>
      <c r="I378" t="n">
        <v>247</v>
      </c>
      <c r="J378" t="n">
        <v>826</v>
      </c>
    </row>
    <row r="379">
      <c r="A379" s="19" t="n">
        <v>43160</v>
      </c>
      <c r="B379" t="inlineStr">
        <is>
          <t>CE</t>
        </is>
      </c>
      <c r="C379" t="n">
        <v>98</v>
      </c>
      <c r="D379" t="n">
        <v>93</v>
      </c>
      <c r="E379" t="n">
        <v>22201.2</v>
      </c>
      <c r="F379" t="n">
        <v>47</v>
      </c>
      <c r="G379" t="n">
        <v>93</v>
      </c>
      <c r="H379" t="n">
        <v>2764.58</v>
      </c>
      <c r="I379" t="n">
        <v>97</v>
      </c>
      <c r="J379" t="n">
        <v>288</v>
      </c>
    </row>
    <row r="380">
      <c r="A380" s="19" t="n">
        <v>43160</v>
      </c>
      <c r="B380" t="inlineStr">
        <is>
          <t>DF</t>
        </is>
      </c>
      <c r="C380" t="n">
        <v>150</v>
      </c>
      <c r="D380" t="n">
        <v>147</v>
      </c>
      <c r="E380" t="n">
        <v>24405.52</v>
      </c>
      <c r="F380" t="n">
        <v>27</v>
      </c>
      <c r="G380" t="n">
        <v>147</v>
      </c>
      <c r="H380" t="n">
        <v>2393.58</v>
      </c>
      <c r="I380" t="n">
        <v>148</v>
      </c>
      <c r="J380" t="n">
        <v>555</v>
      </c>
    </row>
    <row r="381">
      <c r="A381" s="19" t="n">
        <v>43160</v>
      </c>
      <c r="B381" t="inlineStr">
        <is>
          <t>ES</t>
        </is>
      </c>
      <c r="C381" t="n">
        <v>134</v>
      </c>
      <c r="D381" t="n">
        <v>133</v>
      </c>
      <c r="E381" t="n">
        <v>20361.3</v>
      </c>
      <c r="F381" t="n">
        <v>55</v>
      </c>
      <c r="G381" t="n">
        <v>133</v>
      </c>
      <c r="H381" t="n">
        <v>2890.16</v>
      </c>
      <c r="I381" t="n">
        <v>131</v>
      </c>
      <c r="J381" t="n">
        <v>430</v>
      </c>
    </row>
    <row r="382">
      <c r="A382" s="19" t="n">
        <v>43160</v>
      </c>
      <c r="B382" t="inlineStr">
        <is>
          <t>GO</t>
        </is>
      </c>
      <c r="C382" t="n">
        <v>146</v>
      </c>
      <c r="D382" t="n">
        <v>141</v>
      </c>
      <c r="E382" t="n">
        <v>22223.25</v>
      </c>
      <c r="F382" t="n">
        <v>28</v>
      </c>
      <c r="G382" t="n">
        <v>141</v>
      </c>
      <c r="H382" t="n">
        <v>2658.36</v>
      </c>
      <c r="I382" t="n">
        <v>146</v>
      </c>
      <c r="J382" t="n">
        <v>541</v>
      </c>
    </row>
    <row r="383">
      <c r="A383" s="19" t="n">
        <v>43160</v>
      </c>
      <c r="B383" t="inlineStr">
        <is>
          <t>MA</t>
        </is>
      </c>
      <c r="C383" t="n">
        <v>53</v>
      </c>
      <c r="D383" t="n">
        <v>49</v>
      </c>
      <c r="E383" t="n">
        <v>10459.45</v>
      </c>
      <c r="F383" t="n">
        <v>25</v>
      </c>
      <c r="G383" t="n">
        <v>49</v>
      </c>
      <c r="H383" t="n">
        <v>1297.06</v>
      </c>
      <c r="I383" t="n">
        <v>52</v>
      </c>
      <c r="J383" t="n">
        <v>166</v>
      </c>
    </row>
    <row r="384">
      <c r="A384" s="19" t="n">
        <v>43160</v>
      </c>
      <c r="B384" t="inlineStr">
        <is>
          <t>MG</t>
        </is>
      </c>
      <c r="C384" t="n">
        <v>879</v>
      </c>
      <c r="D384" t="n">
        <v>856</v>
      </c>
      <c r="E384" t="n">
        <v>136182.28</v>
      </c>
      <c r="F384" t="n">
        <v>175</v>
      </c>
      <c r="G384" t="n">
        <v>856</v>
      </c>
      <c r="H384" t="n">
        <v>14349.74</v>
      </c>
      <c r="I384" t="n">
        <v>870</v>
      </c>
      <c r="J384" t="n">
        <v>3171</v>
      </c>
    </row>
    <row r="385">
      <c r="A385" s="19" t="n">
        <v>43160</v>
      </c>
      <c r="B385" t="inlineStr">
        <is>
          <t>MS</t>
        </is>
      </c>
      <c r="C385" t="n">
        <v>59</v>
      </c>
      <c r="D385" t="n">
        <v>57</v>
      </c>
      <c r="E385" t="n">
        <v>8588.889999999999</v>
      </c>
      <c r="F385" t="n">
        <v>23</v>
      </c>
      <c r="G385" t="n">
        <v>57</v>
      </c>
      <c r="H385" t="n">
        <v>1249.71</v>
      </c>
      <c r="I385" t="n">
        <v>59</v>
      </c>
      <c r="J385" t="n">
        <v>189</v>
      </c>
    </row>
    <row r="386">
      <c r="A386" s="19" t="n">
        <v>43160</v>
      </c>
      <c r="B386" t="inlineStr">
        <is>
          <t>MT</t>
        </is>
      </c>
      <c r="C386" t="n">
        <v>55</v>
      </c>
      <c r="D386" t="n">
        <v>52</v>
      </c>
      <c r="E386" t="n">
        <v>9981.379999999999</v>
      </c>
      <c r="F386" t="n">
        <v>13</v>
      </c>
      <c r="G386" t="n">
        <v>52</v>
      </c>
      <c r="H386" t="n">
        <v>1203.04</v>
      </c>
      <c r="I386" t="n">
        <v>54</v>
      </c>
      <c r="J386" t="n">
        <v>197</v>
      </c>
    </row>
    <row r="387">
      <c r="A387" s="19" t="n">
        <v>43160</v>
      </c>
      <c r="B387" t="inlineStr">
        <is>
          <t>PA</t>
        </is>
      </c>
      <c r="C387" t="n">
        <v>73</v>
      </c>
      <c r="D387" t="n">
        <v>67</v>
      </c>
      <c r="E387" t="n">
        <v>14787.13</v>
      </c>
      <c r="F387" t="n">
        <v>34</v>
      </c>
      <c r="G387" t="n">
        <v>67</v>
      </c>
      <c r="H387" t="n">
        <v>2537.08</v>
      </c>
      <c r="I387" t="n">
        <v>71</v>
      </c>
      <c r="J387" t="n">
        <v>175</v>
      </c>
    </row>
    <row r="388">
      <c r="A388" s="19" t="n">
        <v>43160</v>
      </c>
      <c r="B388" t="inlineStr">
        <is>
          <t>PB</t>
        </is>
      </c>
      <c r="C388" t="n">
        <v>39</v>
      </c>
      <c r="D388" t="n">
        <v>39</v>
      </c>
      <c r="E388" t="n">
        <v>8067.23</v>
      </c>
      <c r="F388" t="n">
        <v>5</v>
      </c>
      <c r="G388" t="n">
        <v>39</v>
      </c>
      <c r="H388" t="n">
        <v>880.48</v>
      </c>
      <c r="I388" t="n">
        <v>39</v>
      </c>
      <c r="J388" t="n">
        <v>159</v>
      </c>
    </row>
    <row r="389">
      <c r="A389" s="19" t="n">
        <v>43160</v>
      </c>
      <c r="B389" t="inlineStr">
        <is>
          <t>PE</t>
        </is>
      </c>
      <c r="C389" t="n">
        <v>108</v>
      </c>
      <c r="D389" t="n">
        <v>107</v>
      </c>
      <c r="E389" t="n">
        <v>26810.18</v>
      </c>
      <c r="F389" t="n">
        <v>22</v>
      </c>
      <c r="G389" t="n">
        <v>107</v>
      </c>
      <c r="H389" t="n">
        <v>2302.98</v>
      </c>
      <c r="I389" t="n">
        <v>107</v>
      </c>
      <c r="J389" t="n">
        <v>410</v>
      </c>
    </row>
    <row r="390">
      <c r="A390" s="19" t="n">
        <v>43160</v>
      </c>
      <c r="B390" t="inlineStr">
        <is>
          <t>PI</t>
        </is>
      </c>
      <c r="C390" t="n">
        <v>35</v>
      </c>
      <c r="D390" t="n">
        <v>34</v>
      </c>
      <c r="E390" t="n">
        <v>8158.83</v>
      </c>
      <c r="F390" t="n">
        <v>10</v>
      </c>
      <c r="G390" t="n">
        <v>34</v>
      </c>
      <c r="H390" t="n">
        <v>756.67</v>
      </c>
      <c r="I390" t="n">
        <v>34</v>
      </c>
      <c r="J390" t="n">
        <v>117</v>
      </c>
    </row>
    <row r="391">
      <c r="A391" s="19" t="n">
        <v>43160</v>
      </c>
      <c r="B391" t="inlineStr">
        <is>
          <t>PR</t>
        </is>
      </c>
      <c r="C391" t="n">
        <v>377</v>
      </c>
      <c r="D391" t="n">
        <v>369</v>
      </c>
      <c r="E391" t="n">
        <v>58850.79</v>
      </c>
      <c r="F391" t="n">
        <v>49</v>
      </c>
      <c r="G391" t="n">
        <v>369</v>
      </c>
      <c r="H391" t="n">
        <v>5651.14</v>
      </c>
      <c r="I391" t="n">
        <v>376</v>
      </c>
      <c r="J391" t="n">
        <v>1454</v>
      </c>
    </row>
    <row r="392">
      <c r="A392" s="19" t="n">
        <v>43160</v>
      </c>
      <c r="B392" t="inlineStr">
        <is>
          <t>RJ</t>
        </is>
      </c>
      <c r="C392" t="n">
        <v>907</v>
      </c>
      <c r="D392" t="n">
        <v>864</v>
      </c>
      <c r="E392" t="n">
        <v>135186.87</v>
      </c>
      <c r="F392" t="n">
        <v>298</v>
      </c>
      <c r="G392" t="n">
        <v>864</v>
      </c>
      <c r="H392" t="n">
        <v>20991.25</v>
      </c>
      <c r="I392" t="n">
        <v>887</v>
      </c>
      <c r="J392" t="n">
        <v>2823</v>
      </c>
    </row>
    <row r="393">
      <c r="A393" s="19" t="n">
        <v>43160</v>
      </c>
      <c r="B393" t="inlineStr">
        <is>
          <t>RN</t>
        </is>
      </c>
      <c r="C393" t="n">
        <v>39</v>
      </c>
      <c r="D393" t="n">
        <v>38</v>
      </c>
      <c r="E393" t="n">
        <v>8857.16</v>
      </c>
      <c r="F393" t="n">
        <v>7</v>
      </c>
      <c r="G393" t="n">
        <v>38</v>
      </c>
      <c r="H393" t="n">
        <v>916.08</v>
      </c>
      <c r="I393" t="n">
        <v>39</v>
      </c>
      <c r="J393" t="n">
        <v>152</v>
      </c>
    </row>
    <row r="394">
      <c r="A394" s="19" t="n">
        <v>43160</v>
      </c>
      <c r="B394" t="inlineStr">
        <is>
          <t>RO</t>
        </is>
      </c>
      <c r="C394" t="n">
        <v>13</v>
      </c>
      <c r="D394" t="n">
        <v>13</v>
      </c>
      <c r="E394" t="n">
        <v>3305.85</v>
      </c>
      <c r="F394" t="n">
        <v>3</v>
      </c>
      <c r="G394" t="n">
        <v>13</v>
      </c>
      <c r="H394" t="n">
        <v>341.16</v>
      </c>
      <c r="I394" t="n">
        <v>13</v>
      </c>
      <c r="J394" t="n">
        <v>44</v>
      </c>
    </row>
    <row r="395">
      <c r="A395" s="19" t="n">
        <v>43160</v>
      </c>
      <c r="B395" t="inlineStr">
        <is>
          <t>RR</t>
        </is>
      </c>
      <c r="C395" t="n">
        <v>6</v>
      </c>
      <c r="D395" t="n">
        <v>5</v>
      </c>
      <c r="E395" t="n">
        <v>2018.8</v>
      </c>
      <c r="F395" t="n">
        <v>0</v>
      </c>
      <c r="G395" t="n">
        <v>5</v>
      </c>
      <c r="H395" t="n">
        <v>161.07</v>
      </c>
      <c r="I395" t="n">
        <v>6</v>
      </c>
      <c r="J395" t="n">
        <v>20</v>
      </c>
    </row>
    <row r="396">
      <c r="A396" s="19" t="n">
        <v>43160</v>
      </c>
      <c r="B396" t="inlineStr">
        <is>
          <t>RS</t>
        </is>
      </c>
      <c r="C396" t="n">
        <v>418</v>
      </c>
      <c r="D396" t="n">
        <v>407</v>
      </c>
      <c r="E396" t="n">
        <v>66375.42</v>
      </c>
      <c r="F396" t="n">
        <v>78</v>
      </c>
      <c r="G396" t="n">
        <v>407</v>
      </c>
      <c r="H396" t="n">
        <v>8103.33</v>
      </c>
      <c r="I396" t="n">
        <v>417</v>
      </c>
      <c r="J396" t="n">
        <v>1558</v>
      </c>
    </row>
    <row r="397">
      <c r="A397" s="19" t="n">
        <v>43160</v>
      </c>
      <c r="B397" t="inlineStr">
        <is>
          <t>SC</t>
        </is>
      </c>
      <c r="C397" t="n">
        <v>252</v>
      </c>
      <c r="D397" t="n">
        <v>247</v>
      </c>
      <c r="E397" t="n">
        <v>42689.5</v>
      </c>
      <c r="F397" t="n">
        <v>48</v>
      </c>
      <c r="G397" t="n">
        <v>247</v>
      </c>
      <c r="H397" t="n">
        <v>4260.71</v>
      </c>
      <c r="I397" t="n">
        <v>249</v>
      </c>
      <c r="J397" t="n">
        <v>950</v>
      </c>
    </row>
    <row r="398">
      <c r="A398" s="19" t="n">
        <v>43160</v>
      </c>
      <c r="B398" t="inlineStr">
        <is>
          <t>SE</t>
        </is>
      </c>
      <c r="C398" t="n">
        <v>18</v>
      </c>
      <c r="D398" t="n">
        <v>17</v>
      </c>
      <c r="E398" t="n">
        <v>3412.52</v>
      </c>
      <c r="F398" t="n">
        <v>11</v>
      </c>
      <c r="G398" t="n">
        <v>17</v>
      </c>
      <c r="H398" t="n">
        <v>435.64</v>
      </c>
      <c r="I398" t="n">
        <v>18</v>
      </c>
      <c r="J398" t="n">
        <v>44</v>
      </c>
    </row>
    <row r="399">
      <c r="A399" s="19" t="n">
        <v>43160</v>
      </c>
      <c r="B399" t="inlineStr">
        <is>
          <t>SP</t>
        </is>
      </c>
      <c r="C399" t="n">
        <v>3037</v>
      </c>
      <c r="D399" t="n">
        <v>2971</v>
      </c>
      <c r="E399" t="n">
        <v>429111.51</v>
      </c>
      <c r="F399" t="n">
        <v>280</v>
      </c>
      <c r="G399" t="n">
        <v>2971</v>
      </c>
      <c r="H399" t="n">
        <v>30911.11</v>
      </c>
      <c r="I399" t="n">
        <v>3023</v>
      </c>
      <c r="J399" t="n">
        <v>12326</v>
      </c>
    </row>
    <row r="400">
      <c r="A400" s="19" t="n">
        <v>43160</v>
      </c>
      <c r="B400" t="inlineStr">
        <is>
          <t>TO</t>
        </is>
      </c>
      <c r="C400" t="n">
        <v>20</v>
      </c>
      <c r="D400" t="n">
        <v>20</v>
      </c>
      <c r="E400" t="n">
        <v>5579.63</v>
      </c>
      <c r="F400" t="n">
        <v>5</v>
      </c>
      <c r="G400" t="n">
        <v>20</v>
      </c>
      <c r="H400" t="n">
        <v>422.49</v>
      </c>
      <c r="I400" t="n">
        <v>20</v>
      </c>
      <c r="J400" t="n">
        <v>69</v>
      </c>
    </row>
    <row r="401">
      <c r="A401" s="19" t="n">
        <v>43191</v>
      </c>
      <c r="B401" t="inlineStr">
        <is>
          <t>AC</t>
        </is>
      </c>
      <c r="C401" t="n">
        <v>4</v>
      </c>
      <c r="D401" t="n">
        <v>4</v>
      </c>
      <c r="E401" t="n">
        <v>588.17</v>
      </c>
      <c r="F401" t="n">
        <v>1</v>
      </c>
      <c r="G401" t="n">
        <v>4</v>
      </c>
      <c r="H401" t="n">
        <v>141.26</v>
      </c>
      <c r="I401" t="n">
        <v>4</v>
      </c>
      <c r="J401" t="n">
        <v>13</v>
      </c>
    </row>
    <row r="402">
      <c r="A402" s="19" t="n">
        <v>43191</v>
      </c>
      <c r="B402" t="inlineStr">
        <is>
          <t>AL</t>
        </is>
      </c>
      <c r="C402" t="n">
        <v>28</v>
      </c>
      <c r="D402" t="n">
        <v>27</v>
      </c>
      <c r="E402" t="n">
        <v>7006.46</v>
      </c>
      <c r="F402" t="n">
        <v>7</v>
      </c>
      <c r="G402" t="n">
        <v>27</v>
      </c>
      <c r="H402" t="n">
        <v>642.9400000000001</v>
      </c>
      <c r="I402" t="n">
        <v>28</v>
      </c>
      <c r="J402" t="n">
        <v>98</v>
      </c>
    </row>
    <row r="403">
      <c r="A403" s="19" t="n">
        <v>43191</v>
      </c>
      <c r="B403" t="inlineStr">
        <is>
          <t>AM</t>
        </is>
      </c>
      <c r="C403" t="n">
        <v>6</v>
      </c>
      <c r="D403" t="n">
        <v>6</v>
      </c>
      <c r="E403" t="n">
        <v>893.49</v>
      </c>
      <c r="F403" t="n">
        <v>0</v>
      </c>
      <c r="G403" t="n">
        <v>6</v>
      </c>
      <c r="H403" t="n">
        <v>158.3</v>
      </c>
      <c r="I403" t="n">
        <v>6</v>
      </c>
      <c r="J403" t="n">
        <v>28</v>
      </c>
    </row>
    <row r="404">
      <c r="A404" s="19" t="n">
        <v>43191</v>
      </c>
      <c r="B404" t="inlineStr">
        <is>
          <t>AP</t>
        </is>
      </c>
      <c r="C404" t="n">
        <v>5</v>
      </c>
      <c r="D404" t="n">
        <v>5</v>
      </c>
      <c r="E404" t="n">
        <v>1042.8</v>
      </c>
      <c r="F404" t="n">
        <v>0</v>
      </c>
      <c r="G404" t="n">
        <v>5</v>
      </c>
      <c r="H404" t="n">
        <v>136.05</v>
      </c>
      <c r="I404" t="n">
        <v>4</v>
      </c>
      <c r="J404" t="n">
        <v>17</v>
      </c>
    </row>
    <row r="405">
      <c r="A405" s="19" t="n">
        <v>43191</v>
      </c>
      <c r="B405" t="inlineStr">
        <is>
          <t>BA</t>
        </is>
      </c>
      <c r="C405" t="n">
        <v>225</v>
      </c>
      <c r="D405" t="n">
        <v>216</v>
      </c>
      <c r="E405" t="n">
        <v>36881.76</v>
      </c>
      <c r="F405" t="n">
        <v>40</v>
      </c>
      <c r="G405" t="n">
        <v>216</v>
      </c>
      <c r="H405" t="n">
        <v>4843.77</v>
      </c>
      <c r="I405" t="n">
        <v>219</v>
      </c>
      <c r="J405" t="n">
        <v>832</v>
      </c>
    </row>
    <row r="406">
      <c r="A406" s="19" t="n">
        <v>43191</v>
      </c>
      <c r="B406" t="inlineStr">
        <is>
          <t>CE</t>
        </is>
      </c>
      <c r="C406" t="n">
        <v>100</v>
      </c>
      <c r="D406" t="n">
        <v>96</v>
      </c>
      <c r="E406" t="n">
        <v>19887.6</v>
      </c>
      <c r="F406" t="n">
        <v>23</v>
      </c>
      <c r="G406" t="n">
        <v>96</v>
      </c>
      <c r="H406" t="n">
        <v>2321.73</v>
      </c>
      <c r="I406" t="n">
        <v>100</v>
      </c>
      <c r="J406" t="n">
        <v>372</v>
      </c>
    </row>
    <row r="407">
      <c r="A407" s="19" t="n">
        <v>43191</v>
      </c>
      <c r="B407" t="inlineStr">
        <is>
          <t>DF</t>
        </is>
      </c>
      <c r="C407" t="n">
        <v>148</v>
      </c>
      <c r="D407" t="n">
        <v>146</v>
      </c>
      <c r="E407" t="n">
        <v>21467.25</v>
      </c>
      <c r="F407" t="n">
        <v>3</v>
      </c>
      <c r="G407" t="n">
        <v>146</v>
      </c>
      <c r="H407" t="n">
        <v>1652.83</v>
      </c>
      <c r="I407" t="n">
        <v>146</v>
      </c>
      <c r="J407" t="n">
        <v>612</v>
      </c>
    </row>
    <row r="408">
      <c r="A408" s="19" t="n">
        <v>43191</v>
      </c>
      <c r="B408" t="inlineStr">
        <is>
          <t>ES</t>
        </is>
      </c>
      <c r="C408" t="n">
        <v>142</v>
      </c>
      <c r="D408" t="n">
        <v>140</v>
      </c>
      <c r="E408" t="n">
        <v>19112.65</v>
      </c>
      <c r="F408" t="n">
        <v>22</v>
      </c>
      <c r="G408" t="n">
        <v>140</v>
      </c>
      <c r="H408" t="n">
        <v>2463.5</v>
      </c>
      <c r="I408" t="n">
        <v>139</v>
      </c>
      <c r="J408" t="n">
        <v>547</v>
      </c>
    </row>
    <row r="409">
      <c r="A409" s="19" t="n">
        <v>43191</v>
      </c>
      <c r="B409" t="inlineStr">
        <is>
          <t>GO</t>
        </is>
      </c>
      <c r="C409" t="n">
        <v>136</v>
      </c>
      <c r="D409" t="n">
        <v>132</v>
      </c>
      <c r="E409" t="n">
        <v>22230.51</v>
      </c>
      <c r="F409" t="n">
        <v>6</v>
      </c>
      <c r="G409" t="n">
        <v>132</v>
      </c>
      <c r="H409" t="n">
        <v>2025.35</v>
      </c>
      <c r="I409" t="n">
        <v>134</v>
      </c>
      <c r="J409" t="n">
        <v>566</v>
      </c>
    </row>
    <row r="410">
      <c r="A410" s="19" t="n">
        <v>43191</v>
      </c>
      <c r="B410" t="inlineStr">
        <is>
          <t>MA</t>
        </is>
      </c>
      <c r="C410" t="n">
        <v>46</v>
      </c>
      <c r="D410" t="n">
        <v>46</v>
      </c>
      <c r="E410" t="n">
        <v>10023.53</v>
      </c>
      <c r="F410" t="n">
        <v>6</v>
      </c>
      <c r="G410" t="n">
        <v>46</v>
      </c>
      <c r="H410" t="n">
        <v>920.9400000000001</v>
      </c>
      <c r="I410" t="n">
        <v>46</v>
      </c>
      <c r="J410" t="n">
        <v>187</v>
      </c>
    </row>
    <row r="411">
      <c r="A411" s="19" t="n">
        <v>43191</v>
      </c>
      <c r="B411" t="inlineStr">
        <is>
          <t>MG</t>
        </is>
      </c>
      <c r="C411" t="n">
        <v>786</v>
      </c>
      <c r="D411" t="n">
        <v>778</v>
      </c>
      <c r="E411" t="n">
        <v>128818.81</v>
      </c>
      <c r="F411" t="n">
        <v>19</v>
      </c>
      <c r="G411" t="n">
        <v>778</v>
      </c>
      <c r="H411" t="n">
        <v>8652.26</v>
      </c>
      <c r="I411" t="n">
        <v>783</v>
      </c>
      <c r="J411" t="n">
        <v>3292</v>
      </c>
    </row>
    <row r="412">
      <c r="A412" s="19" t="n">
        <v>43191</v>
      </c>
      <c r="B412" t="inlineStr">
        <is>
          <t>MS</t>
        </is>
      </c>
      <c r="C412" t="n">
        <v>43</v>
      </c>
      <c r="D412" t="n">
        <v>43</v>
      </c>
      <c r="E412" t="n">
        <v>7053.14</v>
      </c>
      <c r="F412" t="n">
        <v>3</v>
      </c>
      <c r="G412" t="n">
        <v>43</v>
      </c>
      <c r="H412" t="n">
        <v>707.27</v>
      </c>
      <c r="I412" t="n">
        <v>43</v>
      </c>
      <c r="J412" t="n">
        <v>172</v>
      </c>
    </row>
    <row r="413">
      <c r="A413" s="19" t="n">
        <v>43191</v>
      </c>
      <c r="B413" t="inlineStr">
        <is>
          <t>MT</t>
        </is>
      </c>
      <c r="C413" t="n">
        <v>65</v>
      </c>
      <c r="D413" t="n">
        <v>64</v>
      </c>
      <c r="E413" t="n">
        <v>13542.45</v>
      </c>
      <c r="F413" t="n">
        <v>1</v>
      </c>
      <c r="G413" t="n">
        <v>64</v>
      </c>
      <c r="H413" t="n">
        <v>1160.63</v>
      </c>
      <c r="I413" t="n">
        <v>65</v>
      </c>
      <c r="J413" t="n">
        <v>288</v>
      </c>
    </row>
    <row r="414">
      <c r="A414" s="19" t="n">
        <v>43191</v>
      </c>
      <c r="B414" t="inlineStr">
        <is>
          <t>PA</t>
        </is>
      </c>
      <c r="C414" t="n">
        <v>71</v>
      </c>
      <c r="D414" t="n">
        <v>66</v>
      </c>
      <c r="E414" t="n">
        <v>13825.55</v>
      </c>
      <c r="F414" t="n">
        <v>20</v>
      </c>
      <c r="G414" t="n">
        <v>66</v>
      </c>
      <c r="H414" t="n">
        <v>2073.43</v>
      </c>
      <c r="I414" t="n">
        <v>65</v>
      </c>
      <c r="J414" t="n">
        <v>211</v>
      </c>
    </row>
    <row r="415">
      <c r="A415" s="19" t="n">
        <v>43191</v>
      </c>
      <c r="B415" t="inlineStr">
        <is>
          <t>PB</t>
        </is>
      </c>
      <c r="C415" t="n">
        <v>31</v>
      </c>
      <c r="D415" t="n">
        <v>28</v>
      </c>
      <c r="E415" t="n">
        <v>5516.37</v>
      </c>
      <c r="F415" t="n">
        <v>6</v>
      </c>
      <c r="G415" t="n">
        <v>28</v>
      </c>
      <c r="H415" t="n">
        <v>665.8099999999999</v>
      </c>
      <c r="I415" t="n">
        <v>31</v>
      </c>
      <c r="J415" t="n">
        <v>108</v>
      </c>
    </row>
    <row r="416">
      <c r="A416" s="19" t="n">
        <v>43191</v>
      </c>
      <c r="B416" t="inlineStr">
        <is>
          <t>PE</t>
        </is>
      </c>
      <c r="C416" t="n">
        <v>114</v>
      </c>
      <c r="D416" t="n">
        <v>110</v>
      </c>
      <c r="E416" t="n">
        <v>21510.5</v>
      </c>
      <c r="F416" t="n">
        <v>15</v>
      </c>
      <c r="G416" t="n">
        <v>110</v>
      </c>
      <c r="H416" t="n">
        <v>2282.46</v>
      </c>
      <c r="I416" t="n">
        <v>112</v>
      </c>
      <c r="J416" t="n">
        <v>411</v>
      </c>
    </row>
    <row r="417">
      <c r="A417" s="19" t="n">
        <v>43191</v>
      </c>
      <c r="B417" t="inlineStr">
        <is>
          <t>PI</t>
        </is>
      </c>
      <c r="C417" t="n">
        <v>37</v>
      </c>
      <c r="D417" t="n">
        <v>34</v>
      </c>
      <c r="E417" t="n">
        <v>12357.31</v>
      </c>
      <c r="F417" t="n">
        <v>4</v>
      </c>
      <c r="G417" t="n">
        <v>34</v>
      </c>
      <c r="H417" t="n">
        <v>556.16</v>
      </c>
      <c r="I417" t="n">
        <v>37</v>
      </c>
      <c r="J417" t="n">
        <v>149</v>
      </c>
    </row>
    <row r="418">
      <c r="A418" s="19" t="n">
        <v>43191</v>
      </c>
      <c r="B418" t="inlineStr">
        <is>
          <t>PR</t>
        </is>
      </c>
      <c r="C418" t="n">
        <v>386</v>
      </c>
      <c r="D418" t="n">
        <v>381</v>
      </c>
      <c r="E418" t="n">
        <v>76235.2</v>
      </c>
      <c r="F418" t="n">
        <v>5</v>
      </c>
      <c r="G418" t="n">
        <v>381</v>
      </c>
      <c r="H418" t="n">
        <v>3874.32</v>
      </c>
      <c r="I418" t="n">
        <v>385</v>
      </c>
      <c r="J418" t="n">
        <v>1646</v>
      </c>
    </row>
    <row r="419">
      <c r="A419" s="19" t="n">
        <v>43191</v>
      </c>
      <c r="B419" t="inlineStr">
        <is>
          <t>RJ</t>
        </is>
      </c>
      <c r="C419" t="n">
        <v>834</v>
      </c>
      <c r="D419" t="n">
        <v>807</v>
      </c>
      <c r="E419" t="n">
        <v>139672.71</v>
      </c>
      <c r="F419" t="n">
        <v>39</v>
      </c>
      <c r="G419" t="n">
        <v>807</v>
      </c>
      <c r="H419" t="n">
        <v>11526</v>
      </c>
      <c r="I419" t="n">
        <v>826</v>
      </c>
      <c r="J419" t="n">
        <v>3333</v>
      </c>
    </row>
    <row r="420">
      <c r="A420" s="19" t="n">
        <v>43191</v>
      </c>
      <c r="B420" t="inlineStr">
        <is>
          <t>RN</t>
        </is>
      </c>
      <c r="C420" t="n">
        <v>32</v>
      </c>
      <c r="D420" t="n">
        <v>32</v>
      </c>
      <c r="E420" t="n">
        <v>7518.84</v>
      </c>
      <c r="F420" t="n">
        <v>10</v>
      </c>
      <c r="G420" t="n">
        <v>32</v>
      </c>
      <c r="H420" t="n">
        <v>874.48</v>
      </c>
      <c r="I420" t="n">
        <v>31</v>
      </c>
      <c r="J420" t="n">
        <v>105</v>
      </c>
    </row>
    <row r="421">
      <c r="A421" s="19" t="n">
        <v>43191</v>
      </c>
      <c r="B421" t="inlineStr">
        <is>
          <t>RO</t>
        </is>
      </c>
      <c r="C421" t="n">
        <v>11</v>
      </c>
      <c r="D421" t="n">
        <v>11</v>
      </c>
      <c r="E421" t="n">
        <v>4085.72</v>
      </c>
      <c r="F421" t="n">
        <v>0</v>
      </c>
      <c r="G421" t="n">
        <v>11</v>
      </c>
      <c r="H421" t="n">
        <v>247.93</v>
      </c>
      <c r="I421" t="n">
        <v>11</v>
      </c>
      <c r="J421" t="n">
        <v>48</v>
      </c>
    </row>
    <row r="422">
      <c r="A422" s="19" t="n">
        <v>43191</v>
      </c>
      <c r="B422" t="inlineStr">
        <is>
          <t>RR</t>
        </is>
      </c>
      <c r="C422" t="n">
        <v>2</v>
      </c>
      <c r="D422" t="n">
        <v>2</v>
      </c>
      <c r="E422" t="n">
        <v>772.01</v>
      </c>
      <c r="F422" t="n">
        <v>1</v>
      </c>
      <c r="G422" t="n">
        <v>2</v>
      </c>
      <c r="H422" t="n">
        <v>85.48</v>
      </c>
      <c r="I422" t="n">
        <v>2</v>
      </c>
      <c r="J422" t="n">
        <v>6</v>
      </c>
    </row>
    <row r="423">
      <c r="A423" s="19" t="n">
        <v>43191</v>
      </c>
      <c r="B423" t="inlineStr">
        <is>
          <t>RS</t>
        </is>
      </c>
      <c r="C423" t="n">
        <v>349</v>
      </c>
      <c r="D423" t="n">
        <v>345</v>
      </c>
      <c r="E423" t="n">
        <v>58777.57</v>
      </c>
      <c r="F423" t="n">
        <v>12</v>
      </c>
      <c r="G423" t="n">
        <v>345</v>
      </c>
      <c r="H423" t="n">
        <v>4602.3</v>
      </c>
      <c r="I423" t="n">
        <v>348</v>
      </c>
      <c r="J423" t="n">
        <v>1478</v>
      </c>
    </row>
    <row r="424">
      <c r="A424" s="19" t="n">
        <v>43191</v>
      </c>
      <c r="B424" t="inlineStr">
        <is>
          <t>SC</t>
        </is>
      </c>
      <c r="C424" t="n">
        <v>246</v>
      </c>
      <c r="D424" t="n">
        <v>245</v>
      </c>
      <c r="E424" t="n">
        <v>51729.7</v>
      </c>
      <c r="F424" t="n">
        <v>5</v>
      </c>
      <c r="G424" t="n">
        <v>245</v>
      </c>
      <c r="H424" t="n">
        <v>2943.35</v>
      </c>
      <c r="I424" t="n">
        <v>244</v>
      </c>
      <c r="J424" t="n">
        <v>1070</v>
      </c>
    </row>
    <row r="425">
      <c r="A425" s="19" t="n">
        <v>43191</v>
      </c>
      <c r="B425" t="inlineStr">
        <is>
          <t>SE</t>
        </is>
      </c>
      <c r="C425" t="n">
        <v>14</v>
      </c>
      <c r="D425" t="n">
        <v>13</v>
      </c>
      <c r="E425" t="n">
        <v>3532.98</v>
      </c>
      <c r="F425" t="n">
        <v>6</v>
      </c>
      <c r="G425" t="n">
        <v>13</v>
      </c>
      <c r="H425" t="n">
        <v>380.85</v>
      </c>
      <c r="I425" t="n">
        <v>14</v>
      </c>
      <c r="J425" t="n">
        <v>38</v>
      </c>
    </row>
    <row r="426">
      <c r="A426" s="19" t="n">
        <v>43191</v>
      </c>
      <c r="B426" t="inlineStr">
        <is>
          <t>SP</t>
        </is>
      </c>
      <c r="C426" t="n">
        <v>3059</v>
      </c>
      <c r="D426" t="n">
        <v>3002</v>
      </c>
      <c r="E426" t="n">
        <v>443425.34</v>
      </c>
      <c r="F426" t="n">
        <v>51</v>
      </c>
      <c r="G426" t="n">
        <v>3002</v>
      </c>
      <c r="H426" t="n">
        <v>21915.02</v>
      </c>
      <c r="I426" t="n">
        <v>3041</v>
      </c>
      <c r="J426" t="n">
        <v>12940</v>
      </c>
    </row>
    <row r="427">
      <c r="A427" s="19" t="n">
        <v>43191</v>
      </c>
      <c r="B427" t="inlineStr">
        <is>
          <t>TO</t>
        </is>
      </c>
      <c r="C427" t="n">
        <v>19</v>
      </c>
      <c r="D427" t="n">
        <v>19</v>
      </c>
      <c r="E427" t="n">
        <v>5370.51</v>
      </c>
      <c r="F427" t="n">
        <v>1</v>
      </c>
      <c r="G427" t="n">
        <v>19</v>
      </c>
      <c r="H427" t="n">
        <v>317.01</v>
      </c>
      <c r="I427" t="n">
        <v>19</v>
      </c>
      <c r="J427" t="n">
        <v>81</v>
      </c>
    </row>
    <row r="428">
      <c r="A428" s="19" t="n">
        <v>43221</v>
      </c>
      <c r="B428" t="inlineStr">
        <is>
          <t>AC</t>
        </is>
      </c>
      <c r="C428" t="n">
        <v>2</v>
      </c>
      <c r="D428" t="n">
        <v>2</v>
      </c>
      <c r="E428" t="n">
        <v>1501.42</v>
      </c>
      <c r="F428" t="n">
        <v>0</v>
      </c>
      <c r="G428" t="n">
        <v>2</v>
      </c>
      <c r="H428" t="n">
        <v>41.17</v>
      </c>
      <c r="I428" t="n">
        <v>2</v>
      </c>
      <c r="J428" t="n">
        <v>8</v>
      </c>
    </row>
    <row r="429">
      <c r="A429" s="19" t="n">
        <v>43221</v>
      </c>
      <c r="B429" t="inlineStr">
        <is>
          <t>AL</t>
        </is>
      </c>
      <c r="C429" t="n">
        <v>19</v>
      </c>
      <c r="D429" t="n">
        <v>19</v>
      </c>
      <c r="E429" t="n">
        <v>4393.1</v>
      </c>
      <c r="F429" t="n">
        <v>2</v>
      </c>
      <c r="G429" t="n">
        <v>19</v>
      </c>
      <c r="H429" t="n">
        <v>408.3</v>
      </c>
      <c r="I429" t="n">
        <v>19</v>
      </c>
      <c r="J429" t="n">
        <v>87</v>
      </c>
    </row>
    <row r="430">
      <c r="A430" s="19" t="n">
        <v>43221</v>
      </c>
      <c r="B430" t="inlineStr">
        <is>
          <t>AM</t>
        </is>
      </c>
      <c r="C430" t="n">
        <v>9</v>
      </c>
      <c r="D430" t="n">
        <v>9</v>
      </c>
      <c r="E430" t="n">
        <v>2181.79</v>
      </c>
      <c r="F430" t="n">
        <v>0</v>
      </c>
      <c r="G430" t="n">
        <v>9</v>
      </c>
      <c r="H430" t="n">
        <v>238.43</v>
      </c>
      <c r="I430" t="n">
        <v>9</v>
      </c>
      <c r="J430" t="n">
        <v>44</v>
      </c>
    </row>
    <row r="431">
      <c r="A431" s="19" t="n">
        <v>43221</v>
      </c>
      <c r="B431" t="inlineStr">
        <is>
          <t>AP</t>
        </is>
      </c>
      <c r="C431" t="n">
        <v>6</v>
      </c>
      <c r="D431" t="n">
        <v>6</v>
      </c>
      <c r="E431" t="n">
        <v>1189.93</v>
      </c>
      <c r="F431" t="n">
        <v>0</v>
      </c>
      <c r="G431" t="n">
        <v>6</v>
      </c>
      <c r="H431" t="n">
        <v>142.49</v>
      </c>
      <c r="I431" t="n">
        <v>6</v>
      </c>
      <c r="J431" t="n">
        <v>29</v>
      </c>
    </row>
    <row r="432">
      <c r="A432" s="19" t="n">
        <v>43221</v>
      </c>
      <c r="B432" t="inlineStr">
        <is>
          <t>BA</t>
        </is>
      </c>
      <c r="C432" t="n">
        <v>241</v>
      </c>
      <c r="D432" t="n">
        <v>237</v>
      </c>
      <c r="E432" t="n">
        <v>42313.78</v>
      </c>
      <c r="F432" t="n">
        <v>47</v>
      </c>
      <c r="G432" t="n">
        <v>237</v>
      </c>
      <c r="H432" t="n">
        <v>4826.07</v>
      </c>
      <c r="I432" t="n">
        <v>238</v>
      </c>
      <c r="J432" t="n">
        <v>903</v>
      </c>
    </row>
    <row r="433">
      <c r="A433" s="19" t="n">
        <v>43221</v>
      </c>
      <c r="B433" t="inlineStr">
        <is>
          <t>CE</t>
        </is>
      </c>
      <c r="C433" t="n">
        <v>74</v>
      </c>
      <c r="D433" t="n">
        <v>72</v>
      </c>
      <c r="E433" t="n">
        <v>14495.34</v>
      </c>
      <c r="F433" t="n">
        <v>8</v>
      </c>
      <c r="G433" t="n">
        <v>72</v>
      </c>
      <c r="H433" t="n">
        <v>1526.25</v>
      </c>
      <c r="I433" t="n">
        <v>73</v>
      </c>
      <c r="J433" t="n">
        <v>309</v>
      </c>
    </row>
    <row r="434">
      <c r="A434" s="19" t="n">
        <v>43221</v>
      </c>
      <c r="B434" t="inlineStr">
        <is>
          <t>DF</t>
        </is>
      </c>
      <c r="C434" t="n">
        <v>144</v>
      </c>
      <c r="D434" t="n">
        <v>140</v>
      </c>
      <c r="E434" t="n">
        <v>28836.36</v>
      </c>
      <c r="F434" t="n">
        <v>13</v>
      </c>
      <c r="G434" t="n">
        <v>140</v>
      </c>
      <c r="H434" t="n">
        <v>1667.17</v>
      </c>
      <c r="I434" t="n">
        <v>143</v>
      </c>
      <c r="J434" t="n">
        <v>599</v>
      </c>
    </row>
    <row r="435">
      <c r="A435" s="19" t="n">
        <v>43221</v>
      </c>
      <c r="B435" t="inlineStr">
        <is>
          <t>ES</t>
        </is>
      </c>
      <c r="C435" t="n">
        <v>134</v>
      </c>
      <c r="D435" t="n">
        <v>132</v>
      </c>
      <c r="E435" t="n">
        <v>22037.68</v>
      </c>
      <c r="F435" t="n">
        <v>21</v>
      </c>
      <c r="G435" t="n">
        <v>132</v>
      </c>
      <c r="H435" t="n">
        <v>2115.8</v>
      </c>
      <c r="I435" t="n">
        <v>132</v>
      </c>
      <c r="J435" t="n">
        <v>542</v>
      </c>
    </row>
    <row r="436">
      <c r="A436" s="19" t="n">
        <v>43221</v>
      </c>
      <c r="B436" t="inlineStr">
        <is>
          <t>GO</t>
        </is>
      </c>
      <c r="C436" t="n">
        <v>139</v>
      </c>
      <c r="D436" t="n">
        <v>136</v>
      </c>
      <c r="E436" t="n">
        <v>27537.77</v>
      </c>
      <c r="F436" t="n">
        <v>7</v>
      </c>
      <c r="G436" t="n">
        <v>136</v>
      </c>
      <c r="H436" t="n">
        <v>1885.68</v>
      </c>
      <c r="I436" t="n">
        <v>139</v>
      </c>
      <c r="J436" t="n">
        <v>544</v>
      </c>
    </row>
    <row r="437">
      <c r="A437" s="19" t="n">
        <v>43221</v>
      </c>
      <c r="B437" t="inlineStr">
        <is>
          <t>MA</t>
        </is>
      </c>
      <c r="C437" t="n">
        <v>32</v>
      </c>
      <c r="D437" t="n">
        <v>32</v>
      </c>
      <c r="E437" t="n">
        <v>8589.549999999999</v>
      </c>
      <c r="F437" t="n">
        <v>2</v>
      </c>
      <c r="G437" t="n">
        <v>32</v>
      </c>
      <c r="H437" t="n">
        <v>601.27</v>
      </c>
      <c r="I437" t="n">
        <v>32</v>
      </c>
      <c r="J437" t="n">
        <v>129</v>
      </c>
    </row>
    <row r="438">
      <c r="A438" s="19" t="n">
        <v>43221</v>
      </c>
      <c r="B438" t="inlineStr">
        <is>
          <t>MG</t>
        </is>
      </c>
      <c r="C438" t="n">
        <v>762</v>
      </c>
      <c r="D438" t="n">
        <v>751</v>
      </c>
      <c r="E438" t="n">
        <v>119508.58</v>
      </c>
      <c r="F438" t="n">
        <v>69</v>
      </c>
      <c r="G438" t="n">
        <v>751</v>
      </c>
      <c r="H438" t="n">
        <v>9020.040000000001</v>
      </c>
      <c r="I438" t="n">
        <v>757</v>
      </c>
      <c r="J438" t="n">
        <v>3154</v>
      </c>
    </row>
    <row r="439">
      <c r="A439" s="19" t="n">
        <v>43221</v>
      </c>
      <c r="B439" t="inlineStr">
        <is>
          <t>MS</t>
        </is>
      </c>
      <c r="C439" t="n">
        <v>45</v>
      </c>
      <c r="D439" t="n">
        <v>44</v>
      </c>
      <c r="E439" t="n">
        <v>11059.73</v>
      </c>
      <c r="F439" t="n">
        <v>4</v>
      </c>
      <c r="G439" t="n">
        <v>44</v>
      </c>
      <c r="H439" t="n">
        <v>597.61</v>
      </c>
      <c r="I439" t="n">
        <v>45</v>
      </c>
      <c r="J439" t="n">
        <v>198</v>
      </c>
    </row>
    <row r="440">
      <c r="A440" s="19" t="n">
        <v>43221</v>
      </c>
      <c r="B440" t="inlineStr">
        <is>
          <t>MT</t>
        </is>
      </c>
      <c r="C440" t="n">
        <v>67</v>
      </c>
      <c r="D440" t="n">
        <v>66</v>
      </c>
      <c r="E440" t="n">
        <v>14789.89</v>
      </c>
      <c r="F440" t="n">
        <v>2</v>
      </c>
      <c r="G440" t="n">
        <v>66</v>
      </c>
      <c r="H440" t="n">
        <v>1081.47</v>
      </c>
      <c r="I440" t="n">
        <v>67</v>
      </c>
      <c r="J440" t="n">
        <v>290</v>
      </c>
    </row>
    <row r="441">
      <c r="A441" s="19" t="n">
        <v>43221</v>
      </c>
      <c r="B441" t="inlineStr">
        <is>
          <t>PA</t>
        </is>
      </c>
      <c r="C441" t="n">
        <v>40</v>
      </c>
      <c r="D441" t="n">
        <v>40</v>
      </c>
      <c r="E441" t="n">
        <v>9160.549999999999</v>
      </c>
      <c r="F441" t="n">
        <v>5</v>
      </c>
      <c r="G441" t="n">
        <v>40</v>
      </c>
      <c r="H441" t="n">
        <v>1017.93</v>
      </c>
      <c r="I441" t="n">
        <v>39</v>
      </c>
      <c r="J441" t="n">
        <v>158</v>
      </c>
    </row>
    <row r="442">
      <c r="A442" s="19" t="n">
        <v>43221</v>
      </c>
      <c r="B442" t="inlineStr">
        <is>
          <t>PB</t>
        </is>
      </c>
      <c r="C442" t="n">
        <v>29</v>
      </c>
      <c r="D442" t="n">
        <v>29</v>
      </c>
      <c r="E442" t="n">
        <v>5909.59</v>
      </c>
      <c r="F442" t="n">
        <v>1</v>
      </c>
      <c r="G442" t="n">
        <v>29</v>
      </c>
      <c r="H442" t="n">
        <v>600.1</v>
      </c>
      <c r="I442" t="n">
        <v>29</v>
      </c>
      <c r="J442" t="n">
        <v>131</v>
      </c>
    </row>
    <row r="443">
      <c r="A443" s="19" t="n">
        <v>43221</v>
      </c>
      <c r="B443" t="inlineStr">
        <is>
          <t>PE</t>
        </is>
      </c>
      <c r="C443" t="n">
        <v>106</v>
      </c>
      <c r="D443" t="n">
        <v>102</v>
      </c>
      <c r="E443" t="n">
        <v>16506.23</v>
      </c>
      <c r="F443" t="n">
        <v>12</v>
      </c>
      <c r="G443" t="n">
        <v>102</v>
      </c>
      <c r="H443" t="n">
        <v>1870.48</v>
      </c>
      <c r="I443" t="n">
        <v>105</v>
      </c>
      <c r="J443" t="n">
        <v>418</v>
      </c>
    </row>
    <row r="444">
      <c r="A444" s="19" t="n">
        <v>43221</v>
      </c>
      <c r="B444" t="inlineStr">
        <is>
          <t>PI</t>
        </is>
      </c>
      <c r="C444" t="n">
        <v>31</v>
      </c>
      <c r="D444" t="n">
        <v>30</v>
      </c>
      <c r="E444" t="n">
        <v>8422.940000000001</v>
      </c>
      <c r="F444" t="n">
        <v>6</v>
      </c>
      <c r="G444" t="n">
        <v>30</v>
      </c>
      <c r="H444" t="n">
        <v>632.05</v>
      </c>
      <c r="I444" t="n">
        <v>31</v>
      </c>
      <c r="J444" t="n">
        <v>120</v>
      </c>
    </row>
    <row r="445">
      <c r="A445" s="19" t="n">
        <v>43221</v>
      </c>
      <c r="B445" t="inlineStr">
        <is>
          <t>PR</t>
        </is>
      </c>
      <c r="C445" t="n">
        <v>311</v>
      </c>
      <c r="D445" t="n">
        <v>308</v>
      </c>
      <c r="E445" t="n">
        <v>53994.09</v>
      </c>
      <c r="F445" t="n">
        <v>23</v>
      </c>
      <c r="G445" t="n">
        <v>308</v>
      </c>
      <c r="H445" t="n">
        <v>3792.68</v>
      </c>
      <c r="I445" t="n">
        <v>310</v>
      </c>
      <c r="J445" t="n">
        <v>1310</v>
      </c>
    </row>
    <row r="446">
      <c r="A446" s="19" t="n">
        <v>43221</v>
      </c>
      <c r="B446" t="inlineStr">
        <is>
          <t>RJ</t>
        </is>
      </c>
      <c r="C446" t="n">
        <v>833</v>
      </c>
      <c r="D446" t="n">
        <v>816</v>
      </c>
      <c r="E446" t="n">
        <v>143369.25</v>
      </c>
      <c r="F446" t="n">
        <v>56</v>
      </c>
      <c r="G446" t="n">
        <v>816</v>
      </c>
      <c r="H446" t="n">
        <v>10813.94</v>
      </c>
      <c r="I446" t="n">
        <v>829</v>
      </c>
      <c r="J446" t="n">
        <v>3363</v>
      </c>
    </row>
    <row r="447">
      <c r="A447" s="19" t="n">
        <v>43221</v>
      </c>
      <c r="B447" t="inlineStr">
        <is>
          <t>RN</t>
        </is>
      </c>
      <c r="C447" t="n">
        <v>22</v>
      </c>
      <c r="D447" t="n">
        <v>22</v>
      </c>
      <c r="E447" t="n">
        <v>4998.86</v>
      </c>
      <c r="F447" t="n">
        <v>1</v>
      </c>
      <c r="G447" t="n">
        <v>22</v>
      </c>
      <c r="H447" t="n">
        <v>385.99</v>
      </c>
      <c r="I447" t="n">
        <v>22</v>
      </c>
      <c r="J447" t="n">
        <v>89</v>
      </c>
    </row>
    <row r="448">
      <c r="A448" s="19" t="n">
        <v>43221</v>
      </c>
      <c r="B448" t="inlineStr">
        <is>
          <t>RO</t>
        </is>
      </c>
      <c r="C448" t="n">
        <v>17</v>
      </c>
      <c r="D448" t="n">
        <v>17</v>
      </c>
      <c r="E448" t="n">
        <v>3157.51</v>
      </c>
      <c r="F448" t="n">
        <v>0</v>
      </c>
      <c r="G448" t="n">
        <v>17</v>
      </c>
      <c r="H448" t="n">
        <v>358.75</v>
      </c>
      <c r="I448" t="n">
        <v>17</v>
      </c>
      <c r="J448" t="n">
        <v>71</v>
      </c>
    </row>
    <row r="449">
      <c r="A449" s="19" t="n">
        <v>43221</v>
      </c>
      <c r="B449" t="inlineStr">
        <is>
          <t>RR</t>
        </is>
      </c>
      <c r="C449" t="n">
        <v>1</v>
      </c>
      <c r="D449" t="n">
        <v>1</v>
      </c>
      <c r="E449" t="n">
        <v>171.69</v>
      </c>
      <c r="F449" t="n">
        <v>0</v>
      </c>
      <c r="G449" t="n">
        <v>1</v>
      </c>
      <c r="H449" t="n">
        <v>18.36</v>
      </c>
      <c r="I449" t="n">
        <v>1</v>
      </c>
      <c r="J449" t="n">
        <v>4</v>
      </c>
    </row>
    <row r="450">
      <c r="A450" s="19" t="n">
        <v>43221</v>
      </c>
      <c r="B450" t="inlineStr">
        <is>
          <t>RS</t>
        </is>
      </c>
      <c r="C450" t="n">
        <v>351</v>
      </c>
      <c r="D450" t="n">
        <v>350</v>
      </c>
      <c r="E450" t="n">
        <v>59733.47</v>
      </c>
      <c r="F450" t="n">
        <v>10</v>
      </c>
      <c r="G450" t="n">
        <v>350</v>
      </c>
      <c r="H450" t="n">
        <v>4703.98</v>
      </c>
      <c r="I450" t="n">
        <v>350</v>
      </c>
      <c r="J450" t="n">
        <v>1507</v>
      </c>
    </row>
    <row r="451">
      <c r="A451" s="19" t="n">
        <v>43221</v>
      </c>
      <c r="B451" t="inlineStr">
        <is>
          <t>SC</t>
        </is>
      </c>
      <c r="C451" t="n">
        <v>227</v>
      </c>
      <c r="D451" t="n">
        <v>226</v>
      </c>
      <c r="E451" t="n">
        <v>41778.77</v>
      </c>
      <c r="F451" t="n">
        <v>12</v>
      </c>
      <c r="G451" t="n">
        <v>226</v>
      </c>
      <c r="H451" t="n">
        <v>3031.56</v>
      </c>
      <c r="I451" t="n">
        <v>226</v>
      </c>
      <c r="J451" t="n">
        <v>973</v>
      </c>
    </row>
    <row r="452">
      <c r="A452" s="19" t="n">
        <v>43221</v>
      </c>
      <c r="B452" t="inlineStr">
        <is>
          <t>SE</t>
        </is>
      </c>
      <c r="C452" t="n">
        <v>8</v>
      </c>
      <c r="D452" t="n">
        <v>8</v>
      </c>
      <c r="E452" t="n">
        <v>1320.59</v>
      </c>
      <c r="F452" t="n">
        <v>2</v>
      </c>
      <c r="G452" t="n">
        <v>8</v>
      </c>
      <c r="H452" t="n">
        <v>157.68</v>
      </c>
      <c r="I452" t="n">
        <v>8</v>
      </c>
      <c r="J452" t="n">
        <v>27</v>
      </c>
    </row>
    <row r="453">
      <c r="A453" s="19" t="n">
        <v>43221</v>
      </c>
      <c r="B453" t="inlineStr">
        <is>
          <t>SP</t>
        </is>
      </c>
      <c r="C453" t="n">
        <v>3207</v>
      </c>
      <c r="D453" t="n">
        <v>3138</v>
      </c>
      <c r="E453" t="n">
        <v>478501.73</v>
      </c>
      <c r="F453" t="n">
        <v>136</v>
      </c>
      <c r="G453" t="n">
        <v>3138</v>
      </c>
      <c r="H453" t="n">
        <v>25225.83</v>
      </c>
      <c r="I453" t="n">
        <v>3194</v>
      </c>
      <c r="J453" t="n">
        <v>13615</v>
      </c>
    </row>
    <row r="454">
      <c r="A454" s="19" t="n">
        <v>43221</v>
      </c>
      <c r="B454" t="inlineStr">
        <is>
          <t>TO</t>
        </is>
      </c>
      <c r="C454" t="n">
        <v>16</v>
      </c>
      <c r="D454" t="n">
        <v>16</v>
      </c>
      <c r="E454" t="n">
        <v>3314.33</v>
      </c>
      <c r="F454" t="n">
        <v>4</v>
      </c>
      <c r="G454" t="n">
        <v>16</v>
      </c>
      <c r="H454" t="n">
        <v>305.86</v>
      </c>
      <c r="I454" t="n">
        <v>16</v>
      </c>
      <c r="J454" t="n">
        <v>62</v>
      </c>
    </row>
    <row r="455">
      <c r="A455" s="19" t="n">
        <v>43252</v>
      </c>
      <c r="B455" t="inlineStr">
        <is>
          <t>AC</t>
        </is>
      </c>
      <c r="C455" t="n">
        <v>3</v>
      </c>
      <c r="D455" t="n">
        <v>3</v>
      </c>
      <c r="E455" t="n">
        <v>597.26</v>
      </c>
      <c r="F455" t="n">
        <v>0</v>
      </c>
      <c r="G455" t="n">
        <v>3</v>
      </c>
      <c r="H455" t="n">
        <v>34.39</v>
      </c>
      <c r="I455" t="n">
        <v>3</v>
      </c>
      <c r="J455" t="n">
        <v>14</v>
      </c>
    </row>
    <row r="456">
      <c r="A456" s="19" t="n">
        <v>43252</v>
      </c>
      <c r="B456" t="inlineStr">
        <is>
          <t>AL</t>
        </is>
      </c>
      <c r="C456" t="n">
        <v>24</v>
      </c>
      <c r="D456" t="n">
        <v>24</v>
      </c>
      <c r="E456" t="n">
        <v>4852.93</v>
      </c>
      <c r="F456" t="n">
        <v>0</v>
      </c>
      <c r="G456" t="n">
        <v>24</v>
      </c>
      <c r="H456" t="n">
        <v>492.26</v>
      </c>
      <c r="I456" t="n">
        <v>24</v>
      </c>
      <c r="J456" t="n">
        <v>110</v>
      </c>
    </row>
    <row r="457">
      <c r="A457" s="19" t="n">
        <v>43252</v>
      </c>
      <c r="B457" t="inlineStr">
        <is>
          <t>AM</t>
        </is>
      </c>
      <c r="C457" t="n">
        <v>7</v>
      </c>
      <c r="D457" t="n">
        <v>7</v>
      </c>
      <c r="E457" t="n">
        <v>1211.14</v>
      </c>
      <c r="F457" t="n">
        <v>0</v>
      </c>
      <c r="G457" t="n">
        <v>7</v>
      </c>
      <c r="H457" t="n">
        <v>129.73</v>
      </c>
      <c r="I457" t="n">
        <v>7</v>
      </c>
      <c r="J457" t="n">
        <v>28</v>
      </c>
    </row>
    <row r="458">
      <c r="A458" s="19" t="n">
        <v>43252</v>
      </c>
      <c r="B458" t="inlineStr">
        <is>
          <t>AP</t>
        </is>
      </c>
      <c r="C458" t="n">
        <v>2</v>
      </c>
      <c r="D458" t="n">
        <v>2</v>
      </c>
      <c r="E458" t="n">
        <v>247.92</v>
      </c>
      <c r="F458" t="n">
        <v>0</v>
      </c>
      <c r="G458" t="n">
        <v>2</v>
      </c>
      <c r="H458" t="n">
        <v>34.38</v>
      </c>
      <c r="I458" t="n">
        <v>2</v>
      </c>
      <c r="J458" t="n">
        <v>9</v>
      </c>
    </row>
    <row r="459">
      <c r="A459" s="19" t="n">
        <v>43252</v>
      </c>
      <c r="B459" t="inlineStr">
        <is>
          <t>BA</t>
        </is>
      </c>
      <c r="C459" t="n">
        <v>201</v>
      </c>
      <c r="D459" t="n">
        <v>198</v>
      </c>
      <c r="E459" t="n">
        <v>41922.13</v>
      </c>
      <c r="F459" t="n">
        <v>11</v>
      </c>
      <c r="G459" t="n">
        <v>198</v>
      </c>
      <c r="H459" t="n">
        <v>3579.64</v>
      </c>
      <c r="I459" t="n">
        <v>200</v>
      </c>
      <c r="J459" t="n">
        <v>812</v>
      </c>
    </row>
    <row r="460">
      <c r="A460" s="19" t="n">
        <v>43252</v>
      </c>
      <c r="B460" t="inlineStr">
        <is>
          <t>CE</t>
        </is>
      </c>
      <c r="C460" t="n">
        <v>74</v>
      </c>
      <c r="D460" t="n">
        <v>72</v>
      </c>
      <c r="E460" t="n">
        <v>19726.47</v>
      </c>
      <c r="F460" t="n">
        <v>0</v>
      </c>
      <c r="G460" t="n">
        <v>72</v>
      </c>
      <c r="H460" t="n">
        <v>1099.07</v>
      </c>
      <c r="I460" t="n">
        <v>74</v>
      </c>
      <c r="J460" t="n">
        <v>317</v>
      </c>
    </row>
    <row r="461">
      <c r="A461" s="19" t="n">
        <v>43252</v>
      </c>
      <c r="B461" t="inlineStr">
        <is>
          <t>DF</t>
        </is>
      </c>
      <c r="C461" t="n">
        <v>150</v>
      </c>
      <c r="D461" t="n">
        <v>147</v>
      </c>
      <c r="E461" t="n">
        <v>22875.97</v>
      </c>
      <c r="F461" t="n">
        <v>1</v>
      </c>
      <c r="G461" t="n">
        <v>147</v>
      </c>
      <c r="H461" t="n">
        <v>1343.2</v>
      </c>
      <c r="I461" t="n">
        <v>149</v>
      </c>
      <c r="J461" t="n">
        <v>645</v>
      </c>
    </row>
    <row r="462">
      <c r="A462" s="19" t="n">
        <v>43252</v>
      </c>
      <c r="B462" t="inlineStr">
        <is>
          <t>ES</t>
        </is>
      </c>
      <c r="C462" t="n">
        <v>124</v>
      </c>
      <c r="D462" t="n">
        <v>123</v>
      </c>
      <c r="E462" t="n">
        <v>20647.08</v>
      </c>
      <c r="F462" t="n">
        <v>5</v>
      </c>
      <c r="G462" t="n">
        <v>123</v>
      </c>
      <c r="H462" t="n">
        <v>1686.16</v>
      </c>
      <c r="I462" t="n">
        <v>124</v>
      </c>
      <c r="J462" t="n">
        <v>505</v>
      </c>
    </row>
    <row r="463">
      <c r="A463" s="19" t="n">
        <v>43252</v>
      </c>
      <c r="B463" t="inlineStr">
        <is>
          <t>GO</t>
        </is>
      </c>
      <c r="C463" t="n">
        <v>105</v>
      </c>
      <c r="D463" t="n">
        <v>105</v>
      </c>
      <c r="E463" t="n">
        <v>17381.31</v>
      </c>
      <c r="F463" t="n">
        <v>1</v>
      </c>
      <c r="G463" t="n">
        <v>105</v>
      </c>
      <c r="H463" t="n">
        <v>1256.07</v>
      </c>
      <c r="I463" t="n">
        <v>105</v>
      </c>
      <c r="J463" t="n">
        <v>447</v>
      </c>
    </row>
    <row r="464">
      <c r="A464" s="19" t="n">
        <v>43252</v>
      </c>
      <c r="B464" t="inlineStr">
        <is>
          <t>MA</t>
        </is>
      </c>
      <c r="C464" t="n">
        <v>42</v>
      </c>
      <c r="D464" t="n">
        <v>41</v>
      </c>
      <c r="E464" t="n">
        <v>7845.37</v>
      </c>
      <c r="F464" t="n">
        <v>5</v>
      </c>
      <c r="G464" t="n">
        <v>41</v>
      </c>
      <c r="H464" t="n">
        <v>820.04</v>
      </c>
      <c r="I464" t="n">
        <v>42</v>
      </c>
      <c r="J464" t="n">
        <v>166</v>
      </c>
    </row>
    <row r="465">
      <c r="A465" s="19" t="n">
        <v>43252</v>
      </c>
      <c r="B465" t="inlineStr">
        <is>
          <t>MG</t>
        </is>
      </c>
      <c r="C465" t="n">
        <v>717</v>
      </c>
      <c r="D465" t="n">
        <v>714</v>
      </c>
      <c r="E465" t="n">
        <v>125358.97</v>
      </c>
      <c r="F465" t="n">
        <v>1</v>
      </c>
      <c r="G465" t="n">
        <v>714</v>
      </c>
      <c r="H465" t="n">
        <v>6101.15</v>
      </c>
      <c r="I465" t="n">
        <v>711</v>
      </c>
      <c r="J465" t="n">
        <v>3081</v>
      </c>
    </row>
    <row r="466">
      <c r="A466" s="19" t="n">
        <v>43252</v>
      </c>
      <c r="B466" t="inlineStr">
        <is>
          <t>MS</t>
        </is>
      </c>
      <c r="C466" t="n">
        <v>49</v>
      </c>
      <c r="D466" t="n">
        <v>49</v>
      </c>
      <c r="E466" t="n">
        <v>10765.75</v>
      </c>
      <c r="F466" t="n">
        <v>1</v>
      </c>
      <c r="G466" t="n">
        <v>49</v>
      </c>
      <c r="H466" t="n">
        <v>590.17</v>
      </c>
      <c r="I466" t="n">
        <v>48</v>
      </c>
      <c r="J466" t="n">
        <v>210</v>
      </c>
    </row>
    <row r="467">
      <c r="A467" s="19" t="n">
        <v>43252</v>
      </c>
      <c r="B467" t="inlineStr">
        <is>
          <t>MT</t>
        </is>
      </c>
      <c r="C467" t="n">
        <v>58</v>
      </c>
      <c r="D467" t="n">
        <v>58</v>
      </c>
      <c r="E467" t="n">
        <v>13008.55</v>
      </c>
      <c r="F467" t="n">
        <v>1</v>
      </c>
      <c r="G467" t="n">
        <v>58</v>
      </c>
      <c r="H467" t="n">
        <v>854.25</v>
      </c>
      <c r="I467" t="n">
        <v>57</v>
      </c>
      <c r="J467" t="n">
        <v>238</v>
      </c>
    </row>
    <row r="468">
      <c r="A468" s="19" t="n">
        <v>43252</v>
      </c>
      <c r="B468" t="inlineStr">
        <is>
          <t>PA</t>
        </is>
      </c>
      <c r="C468" t="n">
        <v>54</v>
      </c>
      <c r="D468" t="n">
        <v>54</v>
      </c>
      <c r="E468" t="n">
        <v>11950.55</v>
      </c>
      <c r="F468" t="n">
        <v>0</v>
      </c>
      <c r="G468" t="n">
        <v>54</v>
      </c>
      <c r="H468" t="n">
        <v>963.71</v>
      </c>
      <c r="I468" t="n">
        <v>54</v>
      </c>
      <c r="J468" t="n">
        <v>239</v>
      </c>
    </row>
    <row r="469">
      <c r="A469" s="19" t="n">
        <v>43252</v>
      </c>
      <c r="B469" t="inlineStr">
        <is>
          <t>PB</t>
        </is>
      </c>
      <c r="C469" t="n">
        <v>28</v>
      </c>
      <c r="D469" t="n">
        <v>28</v>
      </c>
      <c r="E469" t="n">
        <v>14221.13</v>
      </c>
      <c r="F469" t="n">
        <v>1</v>
      </c>
      <c r="G469" t="n">
        <v>28</v>
      </c>
      <c r="H469" t="n">
        <v>446.96</v>
      </c>
      <c r="I469" t="n">
        <v>28</v>
      </c>
      <c r="J469" t="n">
        <v>114</v>
      </c>
    </row>
    <row r="470">
      <c r="A470" s="19" t="n">
        <v>43252</v>
      </c>
      <c r="B470" t="inlineStr">
        <is>
          <t>PE</t>
        </is>
      </c>
      <c r="C470" t="n">
        <v>94</v>
      </c>
      <c r="D470" t="n">
        <v>91</v>
      </c>
      <c r="E470" t="n">
        <v>17821.38</v>
      </c>
      <c r="F470" t="n">
        <v>2</v>
      </c>
      <c r="G470" t="n">
        <v>91</v>
      </c>
      <c r="H470" t="n">
        <v>1138.03</v>
      </c>
      <c r="I470" t="n">
        <v>93</v>
      </c>
      <c r="J470" t="n">
        <v>416</v>
      </c>
    </row>
    <row r="471">
      <c r="A471" s="19" t="n">
        <v>43252</v>
      </c>
      <c r="B471" t="inlineStr">
        <is>
          <t>PI</t>
        </is>
      </c>
      <c r="C471" t="n">
        <v>29</v>
      </c>
      <c r="D471" t="n">
        <v>29</v>
      </c>
      <c r="E471" t="n">
        <v>5999.96</v>
      </c>
      <c r="F471" t="n">
        <v>9</v>
      </c>
      <c r="G471" t="n">
        <v>29</v>
      </c>
      <c r="H471" t="n">
        <v>664.4299999999999</v>
      </c>
      <c r="I471" t="n">
        <v>29</v>
      </c>
      <c r="J471" t="n">
        <v>107</v>
      </c>
    </row>
    <row r="472">
      <c r="A472" s="19" t="n">
        <v>43252</v>
      </c>
      <c r="B472" t="inlineStr">
        <is>
          <t>PR</t>
        </is>
      </c>
      <c r="C472" t="n">
        <v>308</v>
      </c>
      <c r="D472" t="n">
        <v>306</v>
      </c>
      <c r="E472" t="n">
        <v>50248.06</v>
      </c>
      <c r="F472" t="n">
        <v>0</v>
      </c>
      <c r="G472" t="n">
        <v>306</v>
      </c>
      <c r="H472" t="n">
        <v>2704.3</v>
      </c>
      <c r="I472" t="n">
        <v>306</v>
      </c>
      <c r="J472" t="n">
        <v>1303</v>
      </c>
    </row>
    <row r="473">
      <c r="A473" s="19" t="n">
        <v>43252</v>
      </c>
      <c r="B473" t="inlineStr">
        <is>
          <t>RJ</t>
        </is>
      </c>
      <c r="C473" t="n">
        <v>716</v>
      </c>
      <c r="D473" t="n">
        <v>707</v>
      </c>
      <c r="E473" t="n">
        <v>119242.8</v>
      </c>
      <c r="F473" t="n">
        <v>9</v>
      </c>
      <c r="G473" t="n">
        <v>707</v>
      </c>
      <c r="H473" t="n">
        <v>7464.26</v>
      </c>
      <c r="I473" t="n">
        <v>711</v>
      </c>
      <c r="J473" t="n">
        <v>2992</v>
      </c>
    </row>
    <row r="474">
      <c r="A474" s="19" t="n">
        <v>43252</v>
      </c>
      <c r="B474" t="inlineStr">
        <is>
          <t>RN</t>
        </is>
      </c>
      <c r="C474" t="n">
        <v>36</v>
      </c>
      <c r="D474" t="n">
        <v>35</v>
      </c>
      <c r="E474" t="n">
        <v>8396</v>
      </c>
      <c r="F474" t="n">
        <v>0</v>
      </c>
      <c r="G474" t="n">
        <v>35</v>
      </c>
      <c r="H474" t="n">
        <v>482.42</v>
      </c>
      <c r="I474" t="n">
        <v>36</v>
      </c>
      <c r="J474" t="n">
        <v>154</v>
      </c>
    </row>
    <row r="475">
      <c r="A475" s="19" t="n">
        <v>43252</v>
      </c>
      <c r="B475" t="inlineStr">
        <is>
          <t>RO</t>
        </is>
      </c>
      <c r="C475" t="n">
        <v>12</v>
      </c>
      <c r="D475" t="n">
        <v>11</v>
      </c>
      <c r="E475" t="n">
        <v>2418.97</v>
      </c>
      <c r="F475" t="n">
        <v>0</v>
      </c>
      <c r="G475" t="n">
        <v>11</v>
      </c>
      <c r="H475" t="n">
        <v>173.3</v>
      </c>
      <c r="I475" t="n">
        <v>12</v>
      </c>
      <c r="J475" t="n">
        <v>44</v>
      </c>
    </row>
    <row r="476">
      <c r="A476" s="19" t="n">
        <v>43252</v>
      </c>
      <c r="B476" t="inlineStr">
        <is>
          <t>RR</t>
        </is>
      </c>
      <c r="C476" t="n">
        <v>5</v>
      </c>
      <c r="D476" t="n">
        <v>5</v>
      </c>
      <c r="E476" t="n">
        <v>1642.41</v>
      </c>
      <c r="F476" t="n">
        <v>0</v>
      </c>
      <c r="G476" t="n">
        <v>5</v>
      </c>
      <c r="H476" t="n">
        <v>91.68000000000001</v>
      </c>
      <c r="I476" t="n">
        <v>5</v>
      </c>
      <c r="J476" t="n">
        <v>19</v>
      </c>
    </row>
    <row r="477">
      <c r="A477" s="19" t="n">
        <v>43252</v>
      </c>
      <c r="B477" t="inlineStr">
        <is>
          <t>RS</t>
        </is>
      </c>
      <c r="C477" t="n">
        <v>305</v>
      </c>
      <c r="D477" t="n">
        <v>304</v>
      </c>
      <c r="E477" t="n">
        <v>53080.68</v>
      </c>
      <c r="F477" t="n">
        <v>4</v>
      </c>
      <c r="G477" t="n">
        <v>304</v>
      </c>
      <c r="H477" t="n">
        <v>3664.2</v>
      </c>
      <c r="I477" t="n">
        <v>304</v>
      </c>
      <c r="J477" t="n">
        <v>1335</v>
      </c>
    </row>
    <row r="478">
      <c r="A478" s="19" t="n">
        <v>43252</v>
      </c>
      <c r="B478" t="inlineStr">
        <is>
          <t>SC</t>
        </is>
      </c>
      <c r="C478" t="n">
        <v>205</v>
      </c>
      <c r="D478" t="n">
        <v>205</v>
      </c>
      <c r="E478" t="n">
        <v>39055.27</v>
      </c>
      <c r="F478" t="n">
        <v>0</v>
      </c>
      <c r="G478" t="n">
        <v>205</v>
      </c>
      <c r="H478" t="n">
        <v>2054.52</v>
      </c>
      <c r="I478" t="n">
        <v>205</v>
      </c>
      <c r="J478" t="n">
        <v>877</v>
      </c>
    </row>
    <row r="479">
      <c r="A479" s="19" t="n">
        <v>43252</v>
      </c>
      <c r="B479" t="inlineStr">
        <is>
          <t>SE</t>
        </is>
      </c>
      <c r="C479" t="n">
        <v>28</v>
      </c>
      <c r="D479" t="n">
        <v>25</v>
      </c>
      <c r="E479" t="n">
        <v>4413.51</v>
      </c>
      <c r="F479" t="n">
        <v>0</v>
      </c>
      <c r="G479" t="n">
        <v>25</v>
      </c>
      <c r="H479" t="n">
        <v>368.92</v>
      </c>
      <c r="I479" t="n">
        <v>28</v>
      </c>
      <c r="J479" t="n">
        <v>115</v>
      </c>
    </row>
    <row r="480">
      <c r="A480" s="19" t="n">
        <v>43252</v>
      </c>
      <c r="B480" t="inlineStr">
        <is>
          <t>SP</t>
        </is>
      </c>
      <c r="C480" t="n">
        <v>2773</v>
      </c>
      <c r="D480" t="n">
        <v>2738</v>
      </c>
      <c r="E480" t="n">
        <v>392059.69</v>
      </c>
      <c r="F480" t="n">
        <v>20</v>
      </c>
      <c r="G480" t="n">
        <v>2735</v>
      </c>
      <c r="H480" t="n">
        <v>17830.27</v>
      </c>
      <c r="I480" t="n">
        <v>2766</v>
      </c>
      <c r="J480" t="n">
        <v>11898</v>
      </c>
    </row>
    <row r="481">
      <c r="A481" s="19" t="n">
        <v>43252</v>
      </c>
      <c r="B481" t="inlineStr">
        <is>
          <t>TO</t>
        </is>
      </c>
      <c r="C481" t="n">
        <v>18</v>
      </c>
      <c r="D481" t="n">
        <v>18</v>
      </c>
      <c r="E481" t="n">
        <v>4987.03</v>
      </c>
      <c r="F481" t="n">
        <v>0</v>
      </c>
      <c r="G481" t="n">
        <v>18</v>
      </c>
      <c r="H481" t="n">
        <v>255.02</v>
      </c>
      <c r="I481" t="n">
        <v>18</v>
      </c>
      <c r="J481" t="n">
        <v>73</v>
      </c>
    </row>
    <row r="482">
      <c r="A482" s="19" t="n">
        <v>43282</v>
      </c>
      <c r="B482" t="inlineStr">
        <is>
          <t>AC</t>
        </is>
      </c>
      <c r="C482" t="n">
        <v>4</v>
      </c>
      <c r="D482" t="n">
        <v>4</v>
      </c>
      <c r="E482" t="n">
        <v>1769.95</v>
      </c>
      <c r="F482" t="n">
        <v>0</v>
      </c>
      <c r="G482" t="n">
        <v>4</v>
      </c>
      <c r="H482" t="n">
        <v>55.41</v>
      </c>
      <c r="I482" t="n">
        <v>4</v>
      </c>
      <c r="J482" t="n">
        <v>18</v>
      </c>
    </row>
    <row r="483">
      <c r="A483" s="19" t="n">
        <v>43282</v>
      </c>
      <c r="B483" t="inlineStr">
        <is>
          <t>AL</t>
        </is>
      </c>
      <c r="C483" t="n">
        <v>23</v>
      </c>
      <c r="D483" t="n">
        <v>22</v>
      </c>
      <c r="E483" t="n">
        <v>4692.58</v>
      </c>
      <c r="F483" t="n">
        <v>4</v>
      </c>
      <c r="G483" t="n">
        <v>22</v>
      </c>
      <c r="H483" t="n">
        <v>513.1799999999999</v>
      </c>
      <c r="I483" t="n">
        <v>23</v>
      </c>
      <c r="J483" t="n">
        <v>88</v>
      </c>
    </row>
    <row r="484">
      <c r="A484" s="19" t="n">
        <v>43282</v>
      </c>
      <c r="B484" t="inlineStr">
        <is>
          <t>AM</t>
        </is>
      </c>
      <c r="C484" t="n">
        <v>18</v>
      </c>
      <c r="D484" t="n">
        <v>18</v>
      </c>
      <c r="E484" t="n">
        <v>2598.41</v>
      </c>
      <c r="F484" t="n">
        <v>0</v>
      </c>
      <c r="G484" t="n">
        <v>18</v>
      </c>
      <c r="H484" t="n">
        <v>400.92</v>
      </c>
      <c r="I484" t="n">
        <v>18</v>
      </c>
      <c r="J484" t="n">
        <v>72</v>
      </c>
    </row>
    <row r="485">
      <c r="A485" s="19" t="n">
        <v>43282</v>
      </c>
      <c r="B485" t="inlineStr">
        <is>
          <t>AP</t>
        </is>
      </c>
      <c r="C485" t="n">
        <v>6</v>
      </c>
      <c r="D485" t="n">
        <v>6</v>
      </c>
      <c r="E485" t="n">
        <v>1613.63</v>
      </c>
      <c r="F485" t="n">
        <v>0</v>
      </c>
      <c r="G485" t="n">
        <v>6</v>
      </c>
      <c r="H485" t="n">
        <v>186.3</v>
      </c>
      <c r="I485" t="n">
        <v>6</v>
      </c>
      <c r="J485" t="n">
        <v>23</v>
      </c>
    </row>
    <row r="486">
      <c r="A486" s="19" t="n">
        <v>43282</v>
      </c>
      <c r="B486" t="inlineStr">
        <is>
          <t>BA</t>
        </is>
      </c>
      <c r="C486" t="n">
        <v>250</v>
      </c>
      <c r="D486" t="n">
        <v>245</v>
      </c>
      <c r="E486" t="n">
        <v>49910.34</v>
      </c>
      <c r="F486" t="n">
        <v>15</v>
      </c>
      <c r="G486" t="n">
        <v>245</v>
      </c>
      <c r="H486" t="n">
        <v>3323.15</v>
      </c>
      <c r="I486" t="n">
        <v>247</v>
      </c>
      <c r="J486" t="n">
        <v>1036</v>
      </c>
    </row>
    <row r="487">
      <c r="A487" s="19" t="n">
        <v>43282</v>
      </c>
      <c r="B487" t="inlineStr">
        <is>
          <t>CE</t>
        </is>
      </c>
      <c r="C487" t="n">
        <v>87</v>
      </c>
      <c r="D487" t="n">
        <v>84</v>
      </c>
      <c r="E487" t="n">
        <v>16582.81</v>
      </c>
      <c r="F487" t="n">
        <v>1</v>
      </c>
      <c r="G487" t="n">
        <v>84</v>
      </c>
      <c r="H487" t="n">
        <v>1068.8</v>
      </c>
      <c r="I487" t="n">
        <v>87</v>
      </c>
      <c r="J487" t="n">
        <v>369</v>
      </c>
    </row>
    <row r="488">
      <c r="A488" s="19" t="n">
        <v>43282</v>
      </c>
      <c r="B488" t="inlineStr">
        <is>
          <t>DF</t>
        </is>
      </c>
      <c r="C488" t="n">
        <v>166</v>
      </c>
      <c r="D488" t="n">
        <v>165</v>
      </c>
      <c r="E488" t="n">
        <v>27244.04</v>
      </c>
      <c r="F488" t="n">
        <v>7</v>
      </c>
      <c r="G488" t="n">
        <v>165</v>
      </c>
      <c r="H488" t="n">
        <v>1548.81</v>
      </c>
      <c r="I488" t="n">
        <v>166</v>
      </c>
      <c r="J488" t="n">
        <v>712</v>
      </c>
    </row>
    <row r="489">
      <c r="A489" s="19" t="n">
        <v>43282</v>
      </c>
      <c r="B489" t="inlineStr">
        <is>
          <t>ES</t>
        </is>
      </c>
      <c r="C489" t="n">
        <v>123</v>
      </c>
      <c r="D489" t="n">
        <v>122</v>
      </c>
      <c r="E489" t="n">
        <v>33519.46</v>
      </c>
      <c r="F489" t="n">
        <v>9</v>
      </c>
      <c r="G489" t="n">
        <v>122</v>
      </c>
      <c r="H489" t="n">
        <v>1499.7</v>
      </c>
      <c r="I489" t="n">
        <v>121</v>
      </c>
      <c r="J489" t="n">
        <v>517</v>
      </c>
    </row>
    <row r="490">
      <c r="A490" s="19" t="n">
        <v>43282</v>
      </c>
      <c r="B490" t="inlineStr">
        <is>
          <t>GO</t>
        </is>
      </c>
      <c r="C490" t="n">
        <v>115</v>
      </c>
      <c r="D490" t="n">
        <v>112</v>
      </c>
      <c r="E490" t="n">
        <v>24379.44</v>
      </c>
      <c r="F490" t="n">
        <v>5</v>
      </c>
      <c r="G490" t="n">
        <v>112</v>
      </c>
      <c r="H490" t="n">
        <v>1362.71</v>
      </c>
      <c r="I490" t="n">
        <v>115</v>
      </c>
      <c r="J490" t="n">
        <v>472</v>
      </c>
    </row>
    <row r="491">
      <c r="A491" s="19" t="n">
        <v>43282</v>
      </c>
      <c r="B491" t="inlineStr">
        <is>
          <t>MA</t>
        </is>
      </c>
      <c r="C491" t="n">
        <v>40</v>
      </c>
      <c r="D491" t="n">
        <v>39</v>
      </c>
      <c r="E491" t="n">
        <v>7746.76</v>
      </c>
      <c r="F491" t="n">
        <v>7</v>
      </c>
      <c r="G491" t="n">
        <v>39</v>
      </c>
      <c r="H491" t="n">
        <v>691.11</v>
      </c>
      <c r="I491" t="n">
        <v>40</v>
      </c>
      <c r="J491" t="n">
        <v>151</v>
      </c>
    </row>
    <row r="492">
      <c r="A492" s="19" t="n">
        <v>43282</v>
      </c>
      <c r="B492" t="inlineStr">
        <is>
          <t>MG</t>
        </is>
      </c>
      <c r="C492" t="n">
        <v>658</v>
      </c>
      <c r="D492" t="n">
        <v>644</v>
      </c>
      <c r="E492" t="n">
        <v>108762.2</v>
      </c>
      <c r="F492" t="n">
        <v>8</v>
      </c>
      <c r="G492" t="n">
        <v>644</v>
      </c>
      <c r="H492" t="n">
        <v>5425.44</v>
      </c>
      <c r="I492" t="n">
        <v>654</v>
      </c>
      <c r="J492" t="n">
        <v>2781</v>
      </c>
    </row>
    <row r="493">
      <c r="A493" s="19" t="n">
        <v>43282</v>
      </c>
      <c r="B493" t="inlineStr">
        <is>
          <t>MS</t>
        </is>
      </c>
      <c r="C493" t="n">
        <v>49</v>
      </c>
      <c r="D493" t="n">
        <v>49</v>
      </c>
      <c r="E493" t="n">
        <v>8295.34</v>
      </c>
      <c r="F493" t="n">
        <v>2</v>
      </c>
      <c r="G493" t="n">
        <v>49</v>
      </c>
      <c r="H493" t="n">
        <v>565.33</v>
      </c>
      <c r="I493" t="n">
        <v>49</v>
      </c>
      <c r="J493" t="n">
        <v>214</v>
      </c>
    </row>
    <row r="494">
      <c r="A494" s="19" t="n">
        <v>43282</v>
      </c>
      <c r="B494" t="inlineStr">
        <is>
          <t>MT</t>
        </is>
      </c>
      <c r="C494" t="n">
        <v>47</v>
      </c>
      <c r="D494" t="n">
        <v>47</v>
      </c>
      <c r="E494" t="n">
        <v>12645.66</v>
      </c>
      <c r="F494" t="n">
        <v>0</v>
      </c>
      <c r="G494" t="n">
        <v>47</v>
      </c>
      <c r="H494" t="n">
        <v>598.36</v>
      </c>
      <c r="I494" t="n">
        <v>47</v>
      </c>
      <c r="J494" t="n">
        <v>209</v>
      </c>
    </row>
    <row r="495">
      <c r="A495" s="19" t="n">
        <v>43282</v>
      </c>
      <c r="B495" t="inlineStr">
        <is>
          <t>PA</t>
        </is>
      </c>
      <c r="C495" t="n">
        <v>57</v>
      </c>
      <c r="D495" t="n">
        <v>57</v>
      </c>
      <c r="E495" t="n">
        <v>15851.64</v>
      </c>
      <c r="F495" t="n">
        <v>3</v>
      </c>
      <c r="G495" t="n">
        <v>57</v>
      </c>
      <c r="H495" t="n">
        <v>872.15</v>
      </c>
      <c r="I495" t="n">
        <v>57</v>
      </c>
      <c r="J495" t="n">
        <v>244</v>
      </c>
    </row>
    <row r="496">
      <c r="A496" s="19" t="n">
        <v>43282</v>
      </c>
      <c r="B496" t="inlineStr">
        <is>
          <t>PB</t>
        </is>
      </c>
      <c r="C496" t="n">
        <v>52</v>
      </c>
      <c r="D496" t="n">
        <v>51</v>
      </c>
      <c r="E496" t="n">
        <v>19940.03</v>
      </c>
      <c r="F496" t="n">
        <v>2</v>
      </c>
      <c r="G496" t="n">
        <v>51</v>
      </c>
      <c r="H496" t="n">
        <v>753.0700000000001</v>
      </c>
      <c r="I496" t="n">
        <v>52</v>
      </c>
      <c r="J496" t="n">
        <v>213</v>
      </c>
    </row>
    <row r="497">
      <c r="A497" s="19" t="n">
        <v>43282</v>
      </c>
      <c r="B497" t="inlineStr">
        <is>
          <t>PE</t>
        </is>
      </c>
      <c r="C497" t="n">
        <v>137</v>
      </c>
      <c r="D497" t="n">
        <v>136</v>
      </c>
      <c r="E497" t="n">
        <v>30181.23</v>
      </c>
      <c r="F497" t="n">
        <v>8</v>
      </c>
      <c r="G497" t="n">
        <v>136</v>
      </c>
      <c r="H497" t="n">
        <v>1785.98</v>
      </c>
      <c r="I497" t="n">
        <v>137</v>
      </c>
      <c r="J497" t="n">
        <v>588</v>
      </c>
    </row>
    <row r="498">
      <c r="A498" s="19" t="n">
        <v>43282</v>
      </c>
      <c r="B498" t="inlineStr">
        <is>
          <t>PI</t>
        </is>
      </c>
      <c r="C498" t="n">
        <v>32</v>
      </c>
      <c r="D498" t="n">
        <v>32</v>
      </c>
      <c r="E498" t="n">
        <v>8471.110000000001</v>
      </c>
      <c r="F498" t="n">
        <v>2</v>
      </c>
      <c r="G498" t="n">
        <v>32</v>
      </c>
      <c r="H498" t="n">
        <v>493.18</v>
      </c>
      <c r="I498" t="n">
        <v>31</v>
      </c>
      <c r="J498" t="n">
        <v>125</v>
      </c>
    </row>
    <row r="499">
      <c r="A499" s="19" t="n">
        <v>43282</v>
      </c>
      <c r="B499" t="inlineStr">
        <is>
          <t>PR</t>
        </is>
      </c>
      <c r="C499" t="n">
        <v>320</v>
      </c>
      <c r="D499" t="n">
        <v>314</v>
      </c>
      <c r="E499" t="n">
        <v>53725.51</v>
      </c>
      <c r="F499" t="n">
        <v>6</v>
      </c>
      <c r="G499" t="n">
        <v>314</v>
      </c>
      <c r="H499" t="n">
        <v>2713.87</v>
      </c>
      <c r="I499" t="n">
        <v>318</v>
      </c>
      <c r="J499" t="n">
        <v>1385</v>
      </c>
    </row>
    <row r="500">
      <c r="A500" s="19" t="n">
        <v>43282</v>
      </c>
      <c r="B500" t="inlineStr">
        <is>
          <t>RJ</t>
        </is>
      </c>
      <c r="C500" t="n">
        <v>717</v>
      </c>
      <c r="D500" t="n">
        <v>696</v>
      </c>
      <c r="E500" t="n">
        <v>116743.43</v>
      </c>
      <c r="F500" t="n">
        <v>17</v>
      </c>
      <c r="G500" t="n">
        <v>696</v>
      </c>
      <c r="H500" t="n">
        <v>6656.78</v>
      </c>
      <c r="I500" t="n">
        <v>708</v>
      </c>
      <c r="J500" t="n">
        <v>3005</v>
      </c>
    </row>
    <row r="501">
      <c r="A501" s="19" t="n">
        <v>43282</v>
      </c>
      <c r="B501" t="inlineStr">
        <is>
          <t>RN</t>
        </is>
      </c>
      <c r="C501" t="n">
        <v>29</v>
      </c>
      <c r="D501" t="n">
        <v>29</v>
      </c>
      <c r="E501" t="n">
        <v>9679.73</v>
      </c>
      <c r="F501" t="n">
        <v>0</v>
      </c>
      <c r="G501" t="n">
        <v>29</v>
      </c>
      <c r="H501" t="n">
        <v>378.59</v>
      </c>
      <c r="I501" t="n">
        <v>27</v>
      </c>
      <c r="J501" t="n">
        <v>119</v>
      </c>
    </row>
    <row r="502">
      <c r="A502" s="19" t="n">
        <v>43282</v>
      </c>
      <c r="B502" t="inlineStr">
        <is>
          <t>RO</t>
        </is>
      </c>
      <c r="C502" t="n">
        <v>16</v>
      </c>
      <c r="D502" t="n">
        <v>16</v>
      </c>
      <c r="E502" t="n">
        <v>5249.38</v>
      </c>
      <c r="F502" t="n">
        <v>0</v>
      </c>
      <c r="G502" t="n">
        <v>16</v>
      </c>
      <c r="H502" t="n">
        <v>212.29</v>
      </c>
      <c r="I502" t="n">
        <v>16</v>
      </c>
      <c r="J502" t="n">
        <v>70</v>
      </c>
    </row>
    <row r="503">
      <c r="A503" s="19" t="n">
        <v>43282</v>
      </c>
      <c r="B503" t="inlineStr">
        <is>
          <t>RR</t>
        </is>
      </c>
      <c r="C503" t="n">
        <v>5</v>
      </c>
      <c r="D503" t="n">
        <v>5</v>
      </c>
      <c r="E503" t="n">
        <v>1960.59</v>
      </c>
      <c r="F503" t="n">
        <v>0</v>
      </c>
      <c r="G503" t="n">
        <v>5</v>
      </c>
      <c r="H503" t="n">
        <v>94.12</v>
      </c>
      <c r="I503" t="n">
        <v>5</v>
      </c>
      <c r="J503" t="n">
        <v>25</v>
      </c>
    </row>
    <row r="504">
      <c r="A504" s="19" t="n">
        <v>43282</v>
      </c>
      <c r="B504" t="inlineStr">
        <is>
          <t>RS</t>
        </is>
      </c>
      <c r="C504" t="n">
        <v>316</v>
      </c>
      <c r="D504" t="n">
        <v>308</v>
      </c>
      <c r="E504" t="n">
        <v>48279.68</v>
      </c>
      <c r="F504" t="n">
        <v>5</v>
      </c>
      <c r="G504" t="n">
        <v>308</v>
      </c>
      <c r="H504" t="n">
        <v>3205.16</v>
      </c>
      <c r="I504" t="n">
        <v>316</v>
      </c>
      <c r="J504" t="n">
        <v>1345</v>
      </c>
    </row>
    <row r="505">
      <c r="A505" s="19" t="n">
        <v>43282</v>
      </c>
      <c r="B505" t="inlineStr">
        <is>
          <t>SC</t>
        </is>
      </c>
      <c r="C505" t="n">
        <v>198</v>
      </c>
      <c r="D505" t="n">
        <v>195</v>
      </c>
      <c r="E505" t="n">
        <v>36837.39</v>
      </c>
      <c r="F505" t="n">
        <v>4</v>
      </c>
      <c r="G505" t="n">
        <v>195</v>
      </c>
      <c r="H505" t="n">
        <v>1844.2</v>
      </c>
      <c r="I505" t="n">
        <v>198</v>
      </c>
      <c r="J505" t="n">
        <v>864</v>
      </c>
    </row>
    <row r="506">
      <c r="A506" s="19" t="n">
        <v>43282</v>
      </c>
      <c r="B506" t="inlineStr">
        <is>
          <t>SE</t>
        </is>
      </c>
      <c r="C506" t="n">
        <v>28</v>
      </c>
      <c r="D506" t="n">
        <v>26</v>
      </c>
      <c r="E506" t="n">
        <v>5511.03</v>
      </c>
      <c r="F506" t="n">
        <v>2</v>
      </c>
      <c r="G506" t="n">
        <v>26</v>
      </c>
      <c r="H506" t="n">
        <v>375.64</v>
      </c>
      <c r="I506" t="n">
        <v>28</v>
      </c>
      <c r="J506" t="n">
        <v>113</v>
      </c>
    </row>
    <row r="507">
      <c r="A507" s="19" t="n">
        <v>43282</v>
      </c>
      <c r="B507" t="inlineStr">
        <is>
          <t>SP</t>
        </is>
      </c>
      <c r="C507" t="n">
        <v>2777</v>
      </c>
      <c r="D507" t="n">
        <v>2715</v>
      </c>
      <c r="E507" t="n">
        <v>371820.82</v>
      </c>
      <c r="F507" t="n">
        <v>100</v>
      </c>
      <c r="G507" t="n">
        <v>2712</v>
      </c>
      <c r="H507" t="n">
        <v>18204.81</v>
      </c>
      <c r="I507" t="n">
        <v>2755</v>
      </c>
      <c r="J507" t="n">
        <v>11773</v>
      </c>
    </row>
    <row r="508">
      <c r="A508" s="19" t="n">
        <v>43282</v>
      </c>
      <c r="B508" t="inlineStr">
        <is>
          <t>TO</t>
        </is>
      </c>
      <c r="C508" t="n">
        <v>22</v>
      </c>
      <c r="D508" t="n">
        <v>22</v>
      </c>
      <c r="E508" t="n">
        <v>3795.09</v>
      </c>
      <c r="F508" t="n">
        <v>1</v>
      </c>
      <c r="G508" t="n">
        <v>22</v>
      </c>
      <c r="H508" t="n">
        <v>320.23</v>
      </c>
      <c r="I508" t="n">
        <v>22</v>
      </c>
      <c r="J508" t="n">
        <v>100</v>
      </c>
    </row>
    <row r="509">
      <c r="A509" s="19" t="n">
        <v>43313</v>
      </c>
      <c r="B509" t="inlineStr">
        <is>
          <t>AC</t>
        </is>
      </c>
      <c r="C509" t="n">
        <v>3</v>
      </c>
      <c r="D509" t="n">
        <v>3</v>
      </c>
      <c r="E509" t="n">
        <v>604.52</v>
      </c>
      <c r="F509" t="n">
        <v>0</v>
      </c>
      <c r="G509" t="n">
        <v>3</v>
      </c>
      <c r="H509" t="n">
        <v>40.93</v>
      </c>
      <c r="I509" t="n">
        <v>3</v>
      </c>
      <c r="J509" t="n">
        <v>15</v>
      </c>
    </row>
    <row r="510">
      <c r="A510" s="19" t="n">
        <v>43313</v>
      </c>
      <c r="B510" t="inlineStr">
        <is>
          <t>AL</t>
        </is>
      </c>
      <c r="C510" t="n">
        <v>16</v>
      </c>
      <c r="D510" t="n">
        <v>16</v>
      </c>
      <c r="E510" t="n">
        <v>2913.71</v>
      </c>
      <c r="F510" t="n">
        <v>0</v>
      </c>
      <c r="G510" t="n">
        <v>16</v>
      </c>
      <c r="H510" t="n">
        <v>229.29</v>
      </c>
      <c r="I510" t="n">
        <v>16</v>
      </c>
      <c r="J510" t="n">
        <v>70</v>
      </c>
    </row>
    <row r="511">
      <c r="A511" s="19" t="n">
        <v>43313</v>
      </c>
      <c r="B511" t="inlineStr">
        <is>
          <t>AM</t>
        </is>
      </c>
      <c r="C511" t="n">
        <v>4</v>
      </c>
      <c r="D511" t="n">
        <v>4</v>
      </c>
      <c r="E511" t="n">
        <v>512.5</v>
      </c>
      <c r="F511" t="n">
        <v>0</v>
      </c>
      <c r="G511" t="n">
        <v>4</v>
      </c>
      <c r="H511" t="n">
        <v>78.26000000000001</v>
      </c>
      <c r="I511" t="n">
        <v>4</v>
      </c>
      <c r="J511" t="n">
        <v>15</v>
      </c>
    </row>
    <row r="512">
      <c r="A512" s="19" t="n">
        <v>43313</v>
      </c>
      <c r="B512" t="inlineStr">
        <is>
          <t>AP</t>
        </is>
      </c>
      <c r="C512" t="n">
        <v>2</v>
      </c>
      <c r="D512" t="n">
        <v>2</v>
      </c>
      <c r="E512" t="n">
        <v>257.4</v>
      </c>
      <c r="F512" t="n">
        <v>0</v>
      </c>
      <c r="G512" t="n">
        <v>2</v>
      </c>
      <c r="H512" t="n">
        <v>33.3</v>
      </c>
      <c r="I512" t="n">
        <v>2</v>
      </c>
      <c r="J512" t="n">
        <v>10</v>
      </c>
    </row>
    <row r="513">
      <c r="A513" s="19" t="n">
        <v>43313</v>
      </c>
      <c r="B513" t="inlineStr">
        <is>
          <t>BA</t>
        </is>
      </c>
      <c r="C513" t="n">
        <v>165</v>
      </c>
      <c r="D513" t="n">
        <v>159</v>
      </c>
      <c r="E513" t="n">
        <v>26095.59</v>
      </c>
      <c r="F513" t="n">
        <v>1</v>
      </c>
      <c r="G513" t="n">
        <v>159</v>
      </c>
      <c r="H513" t="n">
        <v>1830.07</v>
      </c>
      <c r="I513" t="n">
        <v>165</v>
      </c>
      <c r="J513" t="n">
        <v>700</v>
      </c>
    </row>
    <row r="514">
      <c r="A514" s="19" t="n">
        <v>43313</v>
      </c>
      <c r="B514" t="inlineStr">
        <is>
          <t>CE</t>
        </is>
      </c>
      <c r="C514" t="n">
        <v>57</v>
      </c>
      <c r="D514" t="n">
        <v>55</v>
      </c>
      <c r="E514" t="n">
        <v>11881.57</v>
      </c>
      <c r="F514" t="n">
        <v>0</v>
      </c>
      <c r="G514" t="n">
        <v>55</v>
      </c>
      <c r="H514" t="n">
        <v>724.9</v>
      </c>
      <c r="I514" t="n">
        <v>57</v>
      </c>
      <c r="J514" t="n">
        <v>244</v>
      </c>
    </row>
    <row r="515">
      <c r="A515" s="19" t="n">
        <v>43313</v>
      </c>
      <c r="B515" t="inlineStr">
        <is>
          <t>DF</t>
        </is>
      </c>
      <c r="C515" t="n">
        <v>145</v>
      </c>
      <c r="D515" t="n">
        <v>143</v>
      </c>
      <c r="E515" t="n">
        <v>23431.71</v>
      </c>
      <c r="F515" t="n">
        <v>5</v>
      </c>
      <c r="G515" t="n">
        <v>143</v>
      </c>
      <c r="H515" t="n">
        <v>1307.25</v>
      </c>
      <c r="I515" t="n">
        <v>145</v>
      </c>
      <c r="J515" t="n">
        <v>609</v>
      </c>
    </row>
    <row r="516">
      <c r="A516" s="19" t="n">
        <v>43313</v>
      </c>
      <c r="B516" t="inlineStr">
        <is>
          <t>ES</t>
        </is>
      </c>
      <c r="C516" t="n">
        <v>105</v>
      </c>
      <c r="D516" t="n">
        <v>103</v>
      </c>
      <c r="E516" t="n">
        <v>19353.93</v>
      </c>
      <c r="F516" t="n">
        <v>0</v>
      </c>
      <c r="G516" t="n">
        <v>103</v>
      </c>
      <c r="H516" t="n">
        <v>1038.33</v>
      </c>
      <c r="I516" t="n">
        <v>105</v>
      </c>
      <c r="J516" t="n">
        <v>447</v>
      </c>
    </row>
    <row r="517">
      <c r="A517" s="19" t="n">
        <v>43313</v>
      </c>
      <c r="B517" t="inlineStr">
        <is>
          <t>GO</t>
        </is>
      </c>
      <c r="C517" t="n">
        <v>120</v>
      </c>
      <c r="D517" t="n">
        <v>117</v>
      </c>
      <c r="E517" t="n">
        <v>21204.65</v>
      </c>
      <c r="F517" t="n">
        <v>3</v>
      </c>
      <c r="G517" t="n">
        <v>117</v>
      </c>
      <c r="H517" t="n">
        <v>1222.16</v>
      </c>
      <c r="I517" t="n">
        <v>120</v>
      </c>
      <c r="J517" t="n">
        <v>510</v>
      </c>
    </row>
    <row r="518">
      <c r="A518" s="19" t="n">
        <v>43313</v>
      </c>
      <c r="B518" t="inlineStr">
        <is>
          <t>MA</t>
        </is>
      </c>
      <c r="C518" t="n">
        <v>30</v>
      </c>
      <c r="D518" t="n">
        <v>29</v>
      </c>
      <c r="E518" t="n">
        <v>5200.03</v>
      </c>
      <c r="F518" t="n">
        <v>2</v>
      </c>
      <c r="G518" t="n">
        <v>29</v>
      </c>
      <c r="H518" t="n">
        <v>367.74</v>
      </c>
      <c r="I518" t="n">
        <v>30</v>
      </c>
      <c r="J518" t="n">
        <v>125</v>
      </c>
    </row>
    <row r="519">
      <c r="A519" s="19" t="n">
        <v>43313</v>
      </c>
      <c r="B519" t="inlineStr">
        <is>
          <t>MG</t>
        </is>
      </c>
      <c r="C519" t="n">
        <v>708</v>
      </c>
      <c r="D519" t="n">
        <v>700</v>
      </c>
      <c r="E519" t="n">
        <v>113569.86</v>
      </c>
      <c r="F519" t="n">
        <v>12</v>
      </c>
      <c r="G519" t="n">
        <v>700</v>
      </c>
      <c r="H519" t="n">
        <v>5284.14</v>
      </c>
      <c r="I519" t="n">
        <v>706</v>
      </c>
      <c r="J519" t="n">
        <v>3075</v>
      </c>
    </row>
    <row r="520">
      <c r="A520" s="19" t="n">
        <v>43313</v>
      </c>
      <c r="B520" t="inlineStr">
        <is>
          <t>MS</t>
        </is>
      </c>
      <c r="C520" t="n">
        <v>35</v>
      </c>
      <c r="D520" t="n">
        <v>35</v>
      </c>
      <c r="E520" t="n">
        <v>6551.95</v>
      </c>
      <c r="F520" t="n">
        <v>10</v>
      </c>
      <c r="G520" t="n">
        <v>35</v>
      </c>
      <c r="H520" t="n">
        <v>518.08</v>
      </c>
      <c r="I520" t="n">
        <v>35</v>
      </c>
      <c r="J520" t="n">
        <v>137</v>
      </c>
    </row>
    <row r="521">
      <c r="A521" s="19" t="n">
        <v>43313</v>
      </c>
      <c r="B521" t="inlineStr">
        <is>
          <t>MT</t>
        </is>
      </c>
      <c r="C521" t="n">
        <v>40</v>
      </c>
      <c r="D521" t="n">
        <v>39</v>
      </c>
      <c r="E521" t="n">
        <v>5732.64</v>
      </c>
      <c r="F521" t="n">
        <v>0</v>
      </c>
      <c r="G521" t="n">
        <v>39</v>
      </c>
      <c r="H521" t="n">
        <v>449.16</v>
      </c>
      <c r="I521" t="n">
        <v>40</v>
      </c>
      <c r="J521" t="n">
        <v>179</v>
      </c>
    </row>
    <row r="522">
      <c r="A522" s="19" t="n">
        <v>43313</v>
      </c>
      <c r="B522" t="inlineStr">
        <is>
          <t>PA</t>
        </is>
      </c>
      <c r="C522" t="n">
        <v>44</v>
      </c>
      <c r="D522" t="n">
        <v>43</v>
      </c>
      <c r="E522" t="n">
        <v>10965.9</v>
      </c>
      <c r="F522" t="n">
        <v>0</v>
      </c>
      <c r="G522" t="n">
        <v>43</v>
      </c>
      <c r="H522" t="n">
        <v>598.22</v>
      </c>
      <c r="I522" t="n">
        <v>44</v>
      </c>
      <c r="J522" t="n">
        <v>194</v>
      </c>
    </row>
    <row r="523">
      <c r="A523" s="19" t="n">
        <v>43313</v>
      </c>
      <c r="B523" t="inlineStr">
        <is>
          <t>PB</t>
        </is>
      </c>
      <c r="C523" t="n">
        <v>30</v>
      </c>
      <c r="D523" t="n">
        <v>28</v>
      </c>
      <c r="E523" t="n">
        <v>9135.639999999999</v>
      </c>
      <c r="F523" t="n">
        <v>2</v>
      </c>
      <c r="G523" t="n">
        <v>28</v>
      </c>
      <c r="H523" t="n">
        <v>375.38</v>
      </c>
      <c r="I523" t="n">
        <v>30</v>
      </c>
      <c r="J523" t="n">
        <v>129</v>
      </c>
    </row>
    <row r="524">
      <c r="A524" s="19" t="n">
        <v>43313</v>
      </c>
      <c r="B524" t="inlineStr">
        <is>
          <t>PE</t>
        </is>
      </c>
      <c r="C524" t="n">
        <v>85</v>
      </c>
      <c r="D524" t="n">
        <v>83</v>
      </c>
      <c r="E524" t="n">
        <v>15148.16</v>
      </c>
      <c r="F524" t="n">
        <v>4</v>
      </c>
      <c r="G524" t="n">
        <v>83</v>
      </c>
      <c r="H524" t="n">
        <v>1017.88</v>
      </c>
      <c r="I524" t="n">
        <v>85</v>
      </c>
      <c r="J524" t="n">
        <v>360</v>
      </c>
    </row>
    <row r="525">
      <c r="A525" s="19" t="n">
        <v>43313</v>
      </c>
      <c r="B525" t="inlineStr">
        <is>
          <t>PI</t>
        </is>
      </c>
      <c r="C525" t="n">
        <v>21</v>
      </c>
      <c r="D525" t="n">
        <v>20</v>
      </c>
      <c r="E525" t="n">
        <v>3864.86</v>
      </c>
      <c r="F525" t="n">
        <v>0</v>
      </c>
      <c r="G525" t="n">
        <v>20</v>
      </c>
      <c r="H525" t="n">
        <v>237.92</v>
      </c>
      <c r="I525" t="n">
        <v>21</v>
      </c>
      <c r="J525" t="n">
        <v>82</v>
      </c>
    </row>
    <row r="526">
      <c r="A526" s="19" t="n">
        <v>43313</v>
      </c>
      <c r="B526" t="inlineStr">
        <is>
          <t>PR</t>
        </is>
      </c>
      <c r="C526" t="n">
        <v>333</v>
      </c>
      <c r="D526" t="n">
        <v>327</v>
      </c>
      <c r="E526" t="n">
        <v>46556</v>
      </c>
      <c r="F526" t="n">
        <v>10</v>
      </c>
      <c r="G526" t="n">
        <v>327</v>
      </c>
      <c r="H526" t="n">
        <v>2640.9</v>
      </c>
      <c r="I526" t="n">
        <v>332</v>
      </c>
      <c r="J526" t="n">
        <v>1442</v>
      </c>
    </row>
    <row r="527">
      <c r="A527" s="19" t="n">
        <v>43313</v>
      </c>
      <c r="B527" t="inlineStr">
        <is>
          <t>RJ</t>
        </is>
      </c>
      <c r="C527" t="n">
        <v>745</v>
      </c>
      <c r="D527" t="n">
        <v>723</v>
      </c>
      <c r="E527" t="n">
        <v>111210.91</v>
      </c>
      <c r="F527" t="n">
        <v>42</v>
      </c>
      <c r="G527" t="n">
        <v>723</v>
      </c>
      <c r="H527" t="n">
        <v>5993.05</v>
      </c>
      <c r="I527" t="n">
        <v>741</v>
      </c>
      <c r="J527" t="n">
        <v>3103</v>
      </c>
    </row>
    <row r="528">
      <c r="A528" s="19" t="n">
        <v>43313</v>
      </c>
      <c r="B528" t="inlineStr">
        <is>
          <t>RN</t>
        </is>
      </c>
      <c r="C528" t="n">
        <v>20</v>
      </c>
      <c r="D528" t="n">
        <v>20</v>
      </c>
      <c r="E528" t="n">
        <v>5993.75</v>
      </c>
      <c r="F528" t="n">
        <v>0</v>
      </c>
      <c r="G528" t="n">
        <v>20</v>
      </c>
      <c r="H528" t="n">
        <v>240.32</v>
      </c>
      <c r="I528" t="n">
        <v>20</v>
      </c>
      <c r="J528" t="n">
        <v>92</v>
      </c>
    </row>
    <row r="529">
      <c r="A529" s="19" t="n">
        <v>43313</v>
      </c>
      <c r="B529" t="inlineStr">
        <is>
          <t>RO</t>
        </is>
      </c>
      <c r="C529" t="n">
        <v>9</v>
      </c>
      <c r="D529" t="n">
        <v>8</v>
      </c>
      <c r="E529" t="n">
        <v>3236.63</v>
      </c>
      <c r="F529" t="n">
        <v>0</v>
      </c>
      <c r="G529" t="n">
        <v>8</v>
      </c>
      <c r="H529" t="n">
        <v>100.87</v>
      </c>
      <c r="I529" t="n">
        <v>9</v>
      </c>
      <c r="J529" t="n">
        <v>41</v>
      </c>
    </row>
    <row r="530">
      <c r="A530" s="19" t="n">
        <v>43313</v>
      </c>
      <c r="B530" t="inlineStr">
        <is>
          <t>RS</t>
        </is>
      </c>
      <c r="C530" t="n">
        <v>300</v>
      </c>
      <c r="D530" t="n">
        <v>293</v>
      </c>
      <c r="E530" t="n">
        <v>51763.73</v>
      </c>
      <c r="F530" t="n">
        <v>9</v>
      </c>
      <c r="G530" t="n">
        <v>293</v>
      </c>
      <c r="H530" t="n">
        <v>2911.45</v>
      </c>
      <c r="I530" t="n">
        <v>296</v>
      </c>
      <c r="J530" t="n">
        <v>1300</v>
      </c>
    </row>
    <row r="531">
      <c r="A531" s="19" t="n">
        <v>43313</v>
      </c>
      <c r="B531" t="inlineStr">
        <is>
          <t>SC</t>
        </is>
      </c>
      <c r="C531" t="n">
        <v>206</v>
      </c>
      <c r="D531" t="n">
        <v>201</v>
      </c>
      <c r="E531" t="n">
        <v>38204.5</v>
      </c>
      <c r="F531" t="n">
        <v>6</v>
      </c>
      <c r="G531" t="n">
        <v>201</v>
      </c>
      <c r="H531" t="n">
        <v>1819.27</v>
      </c>
      <c r="I531" t="n">
        <v>205</v>
      </c>
      <c r="J531" t="n">
        <v>883</v>
      </c>
    </row>
    <row r="532">
      <c r="A532" s="19" t="n">
        <v>43313</v>
      </c>
      <c r="B532" t="inlineStr">
        <is>
          <t>SE</t>
        </is>
      </c>
      <c r="C532" t="n">
        <v>23</v>
      </c>
      <c r="D532" t="n">
        <v>23</v>
      </c>
      <c r="E532" t="n">
        <v>5600.79</v>
      </c>
      <c r="F532" t="n">
        <v>0</v>
      </c>
      <c r="G532" t="n">
        <v>23</v>
      </c>
      <c r="H532" t="n">
        <v>289.63</v>
      </c>
      <c r="I532" t="n">
        <v>23</v>
      </c>
      <c r="J532" t="n">
        <v>100</v>
      </c>
    </row>
    <row r="533">
      <c r="A533" s="19" t="n">
        <v>43313</v>
      </c>
      <c r="B533" t="inlineStr">
        <is>
          <t>SP</t>
        </is>
      </c>
      <c r="C533" t="n">
        <v>3253</v>
      </c>
      <c r="D533" t="n">
        <v>3164</v>
      </c>
      <c r="E533" t="n">
        <v>443835.2</v>
      </c>
      <c r="F533" t="n">
        <v>285</v>
      </c>
      <c r="G533" t="n">
        <v>3164</v>
      </c>
      <c r="H533" t="n">
        <v>19603.14</v>
      </c>
      <c r="I533" t="n">
        <v>3238</v>
      </c>
      <c r="J533" t="n">
        <v>13679</v>
      </c>
    </row>
    <row r="534">
      <c r="A534" s="19" t="n">
        <v>43313</v>
      </c>
      <c r="B534" t="inlineStr">
        <is>
          <t>TO</t>
        </is>
      </c>
      <c r="C534" t="n">
        <v>13</v>
      </c>
      <c r="D534" t="n">
        <v>13</v>
      </c>
      <c r="E534" t="n">
        <v>2665.51</v>
      </c>
      <c r="F534" t="n">
        <v>2</v>
      </c>
      <c r="G534" t="n">
        <v>13</v>
      </c>
      <c r="H534" t="n">
        <v>159.07</v>
      </c>
      <c r="I534" t="n">
        <v>13</v>
      </c>
      <c r="J534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month_start</t>
        </is>
      </c>
      <c r="B1" t="inlineStr">
        <is>
          <t>category</t>
        </is>
      </c>
      <c r="C1" t="inlineStr">
        <is>
          <t>orders</t>
        </is>
      </c>
      <c r="D1" t="inlineStr">
        <is>
          <t>items_sold</t>
        </is>
      </c>
      <c r="E1" t="inlineStr">
        <is>
          <t>revenue</t>
        </is>
      </c>
    </row>
    <row r="2">
      <c r="A2" s="19" t="n">
        <v>42736</v>
      </c>
      <c r="B2" t="inlineStr">
        <is>
          <t>agro_industry_and_commerce</t>
        </is>
      </c>
      <c r="C2" t="n">
        <v>2</v>
      </c>
      <c r="D2" t="n">
        <v>3</v>
      </c>
      <c r="E2" t="n">
        <v>107.76</v>
      </c>
    </row>
    <row r="3">
      <c r="A3" s="19" t="n">
        <v>42736</v>
      </c>
      <c r="B3" t="inlineStr">
        <is>
          <t>air_conditioning</t>
        </is>
      </c>
      <c r="C3" t="n">
        <v>3</v>
      </c>
      <c r="D3" t="n">
        <v>4</v>
      </c>
      <c r="E3" t="n">
        <v>738.36</v>
      </c>
    </row>
    <row r="4">
      <c r="A4" s="19" t="n">
        <v>42736</v>
      </c>
      <c r="B4" t="inlineStr">
        <is>
          <t>auto</t>
        </is>
      </c>
      <c r="C4" t="n">
        <v>27</v>
      </c>
      <c r="D4" t="n">
        <v>31</v>
      </c>
      <c r="E4" t="n">
        <v>5386.379999999999</v>
      </c>
    </row>
    <row r="5">
      <c r="A5" s="19" t="n">
        <v>42736</v>
      </c>
      <c r="B5" t="inlineStr">
        <is>
          <t>baby</t>
        </is>
      </c>
      <c r="C5" t="n">
        <v>31</v>
      </c>
      <c r="D5" t="n">
        <v>40</v>
      </c>
      <c r="E5" t="n">
        <v>6941.940000000001</v>
      </c>
    </row>
    <row r="6">
      <c r="A6" s="19" t="n">
        <v>42736</v>
      </c>
      <c r="B6" t="inlineStr">
        <is>
          <t>bed_bath_table</t>
        </is>
      </c>
      <c r="C6" t="n">
        <v>43</v>
      </c>
      <c r="D6" t="n">
        <v>46</v>
      </c>
      <c r="E6" t="n">
        <v>4637.6</v>
      </c>
    </row>
    <row r="7">
      <c r="A7" s="19" t="n">
        <v>42736</v>
      </c>
      <c r="B7" t="inlineStr">
        <is>
          <t>books_general_interest</t>
        </is>
      </c>
      <c r="C7" t="n">
        <v>2</v>
      </c>
      <c r="D7" t="n">
        <v>2</v>
      </c>
      <c r="E7" t="n">
        <v>271.55</v>
      </c>
    </row>
    <row r="8">
      <c r="A8" s="19" t="n">
        <v>42736</v>
      </c>
      <c r="B8" t="inlineStr">
        <is>
          <t>computers</t>
        </is>
      </c>
      <c r="C8" t="n">
        <v>1</v>
      </c>
      <c r="D8" t="n">
        <v>1</v>
      </c>
      <c r="E8" t="n">
        <v>2217.99</v>
      </c>
    </row>
    <row r="9">
      <c r="A9" s="19" t="n">
        <v>42736</v>
      </c>
      <c r="B9" t="inlineStr">
        <is>
          <t>computers_accessories</t>
        </is>
      </c>
      <c r="C9" t="n">
        <v>24</v>
      </c>
      <c r="D9" t="n">
        <v>31</v>
      </c>
      <c r="E9" t="n">
        <v>4377.599999999999</v>
      </c>
    </row>
    <row r="10">
      <c r="A10" s="19" t="n">
        <v>42736</v>
      </c>
      <c r="B10" t="inlineStr">
        <is>
          <t>consoles_games</t>
        </is>
      </c>
      <c r="C10" t="n">
        <v>19</v>
      </c>
      <c r="D10" t="n">
        <v>21</v>
      </c>
      <c r="E10" t="n">
        <v>4911.73</v>
      </c>
    </row>
    <row r="11">
      <c r="A11" s="19" t="n">
        <v>42736</v>
      </c>
      <c r="B11" t="inlineStr">
        <is>
          <t>cool_stuff</t>
        </is>
      </c>
      <c r="C11" t="n">
        <v>30</v>
      </c>
      <c r="D11" t="n">
        <v>37</v>
      </c>
      <c r="E11" t="n">
        <v>7603.02</v>
      </c>
    </row>
    <row r="12">
      <c r="A12" s="19" t="n">
        <v>42736</v>
      </c>
      <c r="B12" t="inlineStr">
        <is>
          <t>dvds_blu_ray</t>
        </is>
      </c>
      <c r="C12" t="n">
        <v>1</v>
      </c>
      <c r="D12" t="n">
        <v>2</v>
      </c>
      <c r="E12" t="n">
        <v>47.8</v>
      </c>
    </row>
    <row r="13">
      <c r="A13" s="19" t="n">
        <v>42736</v>
      </c>
      <c r="B13" t="inlineStr">
        <is>
          <t>electronics</t>
        </is>
      </c>
      <c r="C13" t="n">
        <v>11</v>
      </c>
      <c r="D13" t="n">
        <v>11</v>
      </c>
      <c r="E13" t="n">
        <v>772.4300000000001</v>
      </c>
    </row>
    <row r="14">
      <c r="A14" s="19" t="n">
        <v>42736</v>
      </c>
      <c r="B14" t="inlineStr">
        <is>
          <t>fashio_female_clothing</t>
        </is>
      </c>
      <c r="C14" t="n">
        <v>2</v>
      </c>
      <c r="D14" t="n">
        <v>2</v>
      </c>
      <c r="E14" t="n">
        <v>102.81</v>
      </c>
    </row>
    <row r="15">
      <c r="A15" s="19" t="n">
        <v>42736</v>
      </c>
      <c r="B15" t="inlineStr">
        <is>
          <t>fashion_bags_accessories</t>
        </is>
      </c>
      <c r="C15" t="n">
        <v>30</v>
      </c>
      <c r="D15" t="n">
        <v>35</v>
      </c>
      <c r="E15" t="n">
        <v>2136.61</v>
      </c>
    </row>
    <row r="16">
      <c r="A16" s="19" t="n">
        <v>42736</v>
      </c>
      <c r="B16" t="inlineStr">
        <is>
          <t>fashion_male_clothing</t>
        </is>
      </c>
      <c r="C16" t="n">
        <v>1</v>
      </c>
      <c r="D16" t="n">
        <v>1</v>
      </c>
      <c r="E16" t="n">
        <v>159.11</v>
      </c>
    </row>
    <row r="17">
      <c r="A17" s="19" t="n">
        <v>42736</v>
      </c>
      <c r="B17" t="inlineStr">
        <is>
          <t>fashion_shoes</t>
        </is>
      </c>
      <c r="C17" t="n">
        <v>1</v>
      </c>
      <c r="D17" t="n">
        <v>1</v>
      </c>
      <c r="E17" t="n">
        <v>49.01</v>
      </c>
    </row>
    <row r="18">
      <c r="A18" s="19" t="n">
        <v>42736</v>
      </c>
      <c r="B18" t="inlineStr">
        <is>
          <t>fashion_underwear_beach</t>
        </is>
      </c>
      <c r="C18" t="n">
        <v>2</v>
      </c>
      <c r="D18" t="n">
        <v>2</v>
      </c>
      <c r="E18" t="n">
        <v>171.15</v>
      </c>
    </row>
    <row r="19">
      <c r="A19" s="19" t="n">
        <v>42736</v>
      </c>
      <c r="B19" t="inlineStr">
        <is>
          <t>fixed_telephony</t>
        </is>
      </c>
      <c r="C19" t="n">
        <v>19</v>
      </c>
      <c r="D19" t="n">
        <v>22</v>
      </c>
      <c r="E19" t="n">
        <v>969.5599999999999</v>
      </c>
    </row>
    <row r="20">
      <c r="A20" s="19" t="n">
        <v>42736</v>
      </c>
      <c r="B20" t="inlineStr">
        <is>
          <t>food</t>
        </is>
      </c>
      <c r="C20" t="n">
        <v>2</v>
      </c>
      <c r="D20" t="n">
        <v>2</v>
      </c>
      <c r="E20" t="n">
        <v>78.81999999999999</v>
      </c>
    </row>
    <row r="21">
      <c r="A21" s="19" t="n">
        <v>42736</v>
      </c>
      <c r="B21" t="inlineStr">
        <is>
          <t>furniture_bedroom</t>
        </is>
      </c>
      <c r="C21" t="n">
        <v>8</v>
      </c>
      <c r="D21" t="n">
        <v>8</v>
      </c>
      <c r="E21" t="n">
        <v>148.76</v>
      </c>
    </row>
    <row r="22">
      <c r="A22" s="19" t="n">
        <v>42736</v>
      </c>
      <c r="B22" t="inlineStr">
        <is>
          <t>furniture_decor</t>
        </is>
      </c>
      <c r="C22" t="n">
        <v>132</v>
      </c>
      <c r="D22" t="n">
        <v>177</v>
      </c>
      <c r="E22" t="n">
        <v>15863.93</v>
      </c>
    </row>
    <row r="23">
      <c r="A23" s="19" t="n">
        <v>42736</v>
      </c>
      <c r="B23" t="inlineStr">
        <is>
          <t>furniture_living_room</t>
        </is>
      </c>
      <c r="C23" t="n">
        <v>8</v>
      </c>
      <c r="D23" t="n">
        <v>10</v>
      </c>
      <c r="E23" t="n">
        <v>1519.22</v>
      </c>
    </row>
    <row r="24">
      <c r="A24" s="19" t="n">
        <v>42736</v>
      </c>
      <c r="B24" t="inlineStr">
        <is>
          <t>garden_tools</t>
        </is>
      </c>
      <c r="C24" t="n">
        <v>36</v>
      </c>
      <c r="D24" t="n">
        <v>54</v>
      </c>
      <c r="E24" t="n">
        <v>8448.34</v>
      </c>
    </row>
    <row r="25">
      <c r="A25" s="19" t="n">
        <v>42736</v>
      </c>
      <c r="B25" t="inlineStr">
        <is>
          <t>health_beauty</t>
        </is>
      </c>
      <c r="C25" t="n">
        <v>79</v>
      </c>
      <c r="D25" t="n">
        <v>82</v>
      </c>
      <c r="E25" t="n">
        <v>13802.8</v>
      </c>
    </row>
    <row r="26">
      <c r="A26" s="19" t="n">
        <v>42736</v>
      </c>
      <c r="B26" t="inlineStr">
        <is>
          <t>home_appliances_2</t>
        </is>
      </c>
      <c r="C26" t="n">
        <v>6</v>
      </c>
      <c r="D26" t="n">
        <v>7</v>
      </c>
      <c r="E26" t="n">
        <v>2031.7</v>
      </c>
    </row>
    <row r="27">
      <c r="A27" s="19" t="n">
        <v>42736</v>
      </c>
      <c r="B27" t="inlineStr">
        <is>
          <t>home_comfort_2</t>
        </is>
      </c>
      <c r="C27" t="n">
        <v>2</v>
      </c>
      <c r="D27" t="n">
        <v>2</v>
      </c>
      <c r="E27" t="n">
        <v>95.56999999999999</v>
      </c>
    </row>
    <row r="28">
      <c r="A28" s="19" t="n">
        <v>42736</v>
      </c>
      <c r="B28" t="inlineStr">
        <is>
          <t>housewares</t>
        </is>
      </c>
      <c r="C28" t="n">
        <v>21</v>
      </c>
      <c r="D28" t="n">
        <v>28</v>
      </c>
      <c r="E28" t="n">
        <v>3269.76</v>
      </c>
    </row>
    <row r="29">
      <c r="A29" s="19" t="n">
        <v>42736</v>
      </c>
      <c r="B29" t="inlineStr">
        <is>
          <t>kitchen_dining_laundry_garden_furniture</t>
        </is>
      </c>
      <c r="C29" t="n">
        <v>1</v>
      </c>
      <c r="D29" t="n">
        <v>1</v>
      </c>
      <c r="E29" t="n">
        <v>128.2</v>
      </c>
    </row>
    <row r="30">
      <c r="A30" s="19" t="n">
        <v>42736</v>
      </c>
      <c r="B30" t="inlineStr">
        <is>
          <t>luggage_accessories</t>
        </is>
      </c>
      <c r="C30" t="n">
        <v>4</v>
      </c>
      <c r="D30" t="n">
        <v>5</v>
      </c>
      <c r="E30" t="n">
        <v>565.38</v>
      </c>
    </row>
    <row r="31">
      <c r="A31" s="19" t="n">
        <v>42736</v>
      </c>
      <c r="B31" t="inlineStr">
        <is>
          <t>market_place</t>
        </is>
      </c>
      <c r="C31" t="n">
        <v>5</v>
      </c>
      <c r="D31" t="n">
        <v>5</v>
      </c>
      <c r="E31" t="n">
        <v>504.36</v>
      </c>
    </row>
    <row r="32">
      <c r="A32" s="19" t="n">
        <v>42736</v>
      </c>
      <c r="B32" t="inlineStr">
        <is>
          <t>music</t>
        </is>
      </c>
      <c r="C32" t="n">
        <v>2</v>
      </c>
      <c r="D32" t="n">
        <v>2</v>
      </c>
      <c r="E32" t="n">
        <v>37.24</v>
      </c>
    </row>
    <row r="33">
      <c r="A33" s="19" t="n">
        <v>42736</v>
      </c>
      <c r="B33" t="inlineStr">
        <is>
          <t>musical_instruments</t>
        </is>
      </c>
      <c r="C33" t="n">
        <v>1</v>
      </c>
      <c r="D33" t="n">
        <v>1</v>
      </c>
      <c r="E33" t="n">
        <v>357.74</v>
      </c>
    </row>
    <row r="34">
      <c r="A34" s="19" t="n">
        <v>42736</v>
      </c>
      <c r="B34" t="inlineStr">
        <is>
          <t>office_furniture</t>
        </is>
      </c>
      <c r="C34" t="n">
        <v>6</v>
      </c>
      <c r="D34" t="n">
        <v>8</v>
      </c>
      <c r="E34" t="n">
        <v>1341.78</v>
      </c>
    </row>
    <row r="35">
      <c r="A35" s="19" t="n">
        <v>42736</v>
      </c>
      <c r="B35" t="inlineStr">
        <is>
          <t>perfumery</t>
        </is>
      </c>
      <c r="C35" t="n">
        <v>29</v>
      </c>
      <c r="D35" t="n">
        <v>34</v>
      </c>
      <c r="E35" t="n">
        <v>5654.01</v>
      </c>
    </row>
    <row r="36">
      <c r="A36" s="19" t="n">
        <v>42736</v>
      </c>
      <c r="B36" t="inlineStr">
        <is>
          <t>pet_shop</t>
        </is>
      </c>
      <c r="C36" t="n">
        <v>12</v>
      </c>
      <c r="D36" t="n">
        <v>14</v>
      </c>
      <c r="E36" t="n">
        <v>996.39</v>
      </c>
    </row>
    <row r="37">
      <c r="A37" s="19" t="n">
        <v>42736</v>
      </c>
      <c r="B37" t="inlineStr">
        <is>
          <t>security_and_services</t>
        </is>
      </c>
      <c r="C37" t="n">
        <v>1</v>
      </c>
      <c r="D37" t="n">
        <v>1</v>
      </c>
      <c r="E37" t="n">
        <v>209.06</v>
      </c>
    </row>
    <row r="38">
      <c r="A38" s="19" t="n">
        <v>42736</v>
      </c>
      <c r="B38" t="inlineStr">
        <is>
          <t>small_appliances</t>
        </is>
      </c>
      <c r="C38" t="n">
        <v>6</v>
      </c>
      <c r="D38" t="n">
        <v>6</v>
      </c>
      <c r="E38" t="n">
        <v>1788.25</v>
      </c>
    </row>
    <row r="39">
      <c r="A39" s="19" t="n">
        <v>42736</v>
      </c>
      <c r="B39" t="inlineStr">
        <is>
          <t>sports_leisure</t>
        </is>
      </c>
      <c r="C39" t="n">
        <v>57</v>
      </c>
      <c r="D39" t="n">
        <v>74</v>
      </c>
      <c r="E39" t="n">
        <v>10754.95</v>
      </c>
    </row>
    <row r="40">
      <c r="A40" s="19" t="n">
        <v>42736</v>
      </c>
      <c r="B40" t="inlineStr">
        <is>
          <t>stationery</t>
        </is>
      </c>
      <c r="C40" t="n">
        <v>7</v>
      </c>
      <c r="D40" t="n">
        <v>14</v>
      </c>
      <c r="E40" t="n">
        <v>1754.61</v>
      </c>
    </row>
    <row r="41">
      <c r="A41" s="19" t="n">
        <v>42736</v>
      </c>
      <c r="B41" t="inlineStr">
        <is>
          <t>telephony</t>
        </is>
      </c>
      <c r="C41" t="n">
        <v>17</v>
      </c>
      <c r="D41" t="n">
        <v>22</v>
      </c>
      <c r="E41" t="n">
        <v>1128.27</v>
      </c>
    </row>
    <row r="42">
      <c r="A42" s="19" t="n">
        <v>42736</v>
      </c>
      <c r="B42" t="inlineStr">
        <is>
          <t>toys</t>
        </is>
      </c>
      <c r="C42" t="n">
        <v>41</v>
      </c>
      <c r="D42" t="n">
        <v>41</v>
      </c>
      <c r="E42" t="n">
        <v>5291.26</v>
      </c>
    </row>
    <row r="43">
      <c r="A43" s="19" t="n">
        <v>42736</v>
      </c>
      <c r="B43" t="inlineStr">
        <is>
          <t>unknown</t>
        </is>
      </c>
      <c r="C43" t="n">
        <v>10</v>
      </c>
      <c r="D43" t="n">
        <v>12</v>
      </c>
      <c r="E43" t="n">
        <v>1798.73</v>
      </c>
    </row>
    <row r="44">
      <c r="A44" s="19" t="n">
        <v>42736</v>
      </c>
      <c r="B44" t="inlineStr">
        <is>
          <t>watches_gifts</t>
        </is>
      </c>
      <c r="C44" t="n">
        <v>11</v>
      </c>
      <c r="D44" t="n">
        <v>11</v>
      </c>
      <c r="E44" t="n">
        <v>8310.83</v>
      </c>
    </row>
    <row r="45">
      <c r="A45" s="19" t="n">
        <v>42767</v>
      </c>
      <c r="B45" t="inlineStr">
        <is>
          <t>agro_industry_and_commerce</t>
        </is>
      </c>
      <c r="C45" t="n">
        <v>7</v>
      </c>
      <c r="D45" t="n">
        <v>7</v>
      </c>
      <c r="E45" t="n">
        <v>331.1</v>
      </c>
    </row>
    <row r="46">
      <c r="A46" s="19" t="n">
        <v>42767</v>
      </c>
      <c r="B46" t="inlineStr">
        <is>
          <t>air_conditioning</t>
        </is>
      </c>
      <c r="C46" t="n">
        <v>11</v>
      </c>
      <c r="D46" t="n">
        <v>11</v>
      </c>
      <c r="E46" t="n">
        <v>2688.34</v>
      </c>
    </row>
    <row r="47">
      <c r="A47" s="19" t="n">
        <v>42767</v>
      </c>
      <c r="B47" t="inlineStr">
        <is>
          <t>audio</t>
        </is>
      </c>
      <c r="C47" t="n">
        <v>5</v>
      </c>
      <c r="D47" t="n">
        <v>5</v>
      </c>
      <c r="E47" t="n">
        <v>247.85</v>
      </c>
    </row>
    <row r="48">
      <c r="A48" s="19" t="n">
        <v>42767</v>
      </c>
      <c r="B48" t="inlineStr">
        <is>
          <t>auto</t>
        </is>
      </c>
      <c r="C48" t="n">
        <v>75</v>
      </c>
      <c r="D48" t="n">
        <v>83</v>
      </c>
      <c r="E48" t="n">
        <v>14301.63</v>
      </c>
    </row>
    <row r="49">
      <c r="A49" s="19" t="n">
        <v>42767</v>
      </c>
      <c r="B49" t="inlineStr">
        <is>
          <t>baby</t>
        </is>
      </c>
      <c r="C49" t="n">
        <v>31</v>
      </c>
      <c r="D49" t="n">
        <v>32</v>
      </c>
      <c r="E49" t="n">
        <v>3442.56</v>
      </c>
    </row>
    <row r="50">
      <c r="A50" s="19" t="n">
        <v>42767</v>
      </c>
      <c r="B50" t="inlineStr">
        <is>
          <t>bed_bath_table</t>
        </is>
      </c>
      <c r="C50" t="n">
        <v>140</v>
      </c>
      <c r="D50" t="n">
        <v>157</v>
      </c>
      <c r="E50" t="n">
        <v>18462.71</v>
      </c>
    </row>
    <row r="51">
      <c r="A51" s="19" t="n">
        <v>42767</v>
      </c>
      <c r="B51" t="inlineStr">
        <is>
          <t>books_general_interest</t>
        </is>
      </c>
      <c r="C51" t="n">
        <v>8</v>
      </c>
      <c r="D51" t="n">
        <v>8</v>
      </c>
      <c r="E51" t="n">
        <v>950.02</v>
      </c>
    </row>
    <row r="52">
      <c r="A52" s="19" t="n">
        <v>42767</v>
      </c>
      <c r="B52" t="inlineStr">
        <is>
          <t>books_technical</t>
        </is>
      </c>
      <c r="C52" t="n">
        <v>1</v>
      </c>
      <c r="D52" t="n">
        <v>1</v>
      </c>
      <c r="E52" t="n">
        <v>182.4</v>
      </c>
    </row>
    <row r="53">
      <c r="A53" s="19" t="n">
        <v>42767</v>
      </c>
      <c r="B53" t="inlineStr">
        <is>
          <t>cine_photo</t>
        </is>
      </c>
      <c r="C53" t="n">
        <v>1</v>
      </c>
      <c r="D53" t="n">
        <v>1</v>
      </c>
      <c r="E53" t="n">
        <v>95.23999999999999</v>
      </c>
    </row>
    <row r="54">
      <c r="A54" s="19" t="n">
        <v>42767</v>
      </c>
      <c r="B54" t="inlineStr">
        <is>
          <t>computers</t>
        </is>
      </c>
      <c r="C54" t="n">
        <v>1</v>
      </c>
      <c r="D54" t="n">
        <v>1</v>
      </c>
      <c r="E54" t="n">
        <v>3602.47</v>
      </c>
    </row>
    <row r="55">
      <c r="A55" s="19" t="n">
        <v>42767</v>
      </c>
      <c r="B55" t="inlineStr">
        <is>
          <t>computers_accessories</t>
        </is>
      </c>
      <c r="C55" t="n">
        <v>92</v>
      </c>
      <c r="D55" t="n">
        <v>100</v>
      </c>
      <c r="E55" t="n">
        <v>13014.71</v>
      </c>
    </row>
    <row r="56">
      <c r="A56" s="19" t="n">
        <v>42767</v>
      </c>
      <c r="B56" t="inlineStr">
        <is>
          <t>consoles_games</t>
        </is>
      </c>
      <c r="C56" t="n">
        <v>18</v>
      </c>
      <c r="D56" t="n">
        <v>18</v>
      </c>
      <c r="E56" t="n">
        <v>4637.96</v>
      </c>
    </row>
    <row r="57">
      <c r="A57" s="19" t="n">
        <v>42767</v>
      </c>
      <c r="B57" t="inlineStr">
        <is>
          <t>construction_tools_construction</t>
        </is>
      </c>
      <c r="C57" t="n">
        <v>3</v>
      </c>
      <c r="D57" t="n">
        <v>3</v>
      </c>
      <c r="E57" t="n">
        <v>393.57</v>
      </c>
    </row>
    <row r="58">
      <c r="A58" s="19" t="n">
        <v>42767</v>
      </c>
      <c r="B58" t="inlineStr">
        <is>
          <t>construction_tools_safety</t>
        </is>
      </c>
      <c r="C58" t="n">
        <v>1</v>
      </c>
      <c r="D58" t="n">
        <v>1</v>
      </c>
      <c r="E58" t="n">
        <v>396.86</v>
      </c>
    </row>
    <row r="59">
      <c r="A59" s="19" t="n">
        <v>42767</v>
      </c>
      <c r="B59" t="inlineStr">
        <is>
          <t>cool_stuff</t>
        </is>
      </c>
      <c r="C59" t="n">
        <v>68</v>
      </c>
      <c r="D59" t="n">
        <v>69</v>
      </c>
      <c r="E59" t="n">
        <v>13946.98</v>
      </c>
    </row>
    <row r="60">
      <c r="A60" s="19" t="n">
        <v>42767</v>
      </c>
      <c r="B60" t="inlineStr">
        <is>
          <t>costruction_tools_garden</t>
        </is>
      </c>
      <c r="C60" t="n">
        <v>1</v>
      </c>
      <c r="D60" t="n">
        <v>2</v>
      </c>
      <c r="E60" t="n">
        <v>624.6799999999999</v>
      </c>
    </row>
    <row r="61">
      <c r="A61" s="19" t="n">
        <v>42767</v>
      </c>
      <c r="B61" t="inlineStr">
        <is>
          <t>dvds_blu_ray</t>
        </is>
      </c>
      <c r="C61" t="n">
        <v>1</v>
      </c>
      <c r="D61" t="n">
        <v>1</v>
      </c>
      <c r="E61" t="n">
        <v>35.7</v>
      </c>
    </row>
    <row r="62">
      <c r="A62" s="19" t="n">
        <v>42767</v>
      </c>
      <c r="B62" t="inlineStr">
        <is>
          <t>electronics</t>
        </is>
      </c>
      <c r="C62" t="n">
        <v>14</v>
      </c>
      <c r="D62" t="n">
        <v>19</v>
      </c>
      <c r="E62" t="n">
        <v>1555.5</v>
      </c>
    </row>
    <row r="63">
      <c r="A63" s="19" t="n">
        <v>42767</v>
      </c>
      <c r="B63" t="inlineStr">
        <is>
          <t>fashio_female_clothing</t>
        </is>
      </c>
      <c r="C63" t="n">
        <v>3</v>
      </c>
      <c r="D63" t="n">
        <v>3</v>
      </c>
      <c r="E63" t="n">
        <v>414.6</v>
      </c>
    </row>
    <row r="64">
      <c r="A64" s="19" t="n">
        <v>42767</v>
      </c>
      <c r="B64" t="inlineStr">
        <is>
          <t>fashion_bags_accessories</t>
        </is>
      </c>
      <c r="C64" t="n">
        <v>32</v>
      </c>
      <c r="D64" t="n">
        <v>36</v>
      </c>
      <c r="E64" t="n">
        <v>2711.65</v>
      </c>
    </row>
    <row r="65">
      <c r="A65" s="19" t="n">
        <v>42767</v>
      </c>
      <c r="B65" t="inlineStr">
        <is>
          <t>fashion_male_clothing</t>
        </is>
      </c>
      <c r="C65" t="n">
        <v>6</v>
      </c>
      <c r="D65" t="n">
        <v>6</v>
      </c>
      <c r="E65" t="n">
        <v>644.99</v>
      </c>
    </row>
    <row r="66">
      <c r="A66" s="19" t="n">
        <v>42767</v>
      </c>
      <c r="B66" t="inlineStr">
        <is>
          <t>fashion_shoes</t>
        </is>
      </c>
      <c r="C66" t="n">
        <v>2</v>
      </c>
      <c r="D66" t="n">
        <v>3</v>
      </c>
      <c r="E66" t="n">
        <v>157.37</v>
      </c>
    </row>
    <row r="67">
      <c r="A67" s="19" t="n">
        <v>42767</v>
      </c>
      <c r="B67" t="inlineStr">
        <is>
          <t>fashion_underwear_beach</t>
        </is>
      </c>
      <c r="C67" t="n">
        <v>6</v>
      </c>
      <c r="D67" t="n">
        <v>8</v>
      </c>
      <c r="E67" t="n">
        <v>507.83</v>
      </c>
    </row>
    <row r="68">
      <c r="A68" s="19" t="n">
        <v>42767</v>
      </c>
      <c r="B68" t="inlineStr">
        <is>
          <t>fixed_telephony</t>
        </is>
      </c>
      <c r="C68" t="n">
        <v>18</v>
      </c>
      <c r="D68" t="n">
        <v>22</v>
      </c>
      <c r="E68" t="n">
        <v>1124.89</v>
      </c>
    </row>
    <row r="69">
      <c r="A69" s="19" t="n">
        <v>42767</v>
      </c>
      <c r="B69" t="inlineStr">
        <is>
          <t>food</t>
        </is>
      </c>
      <c r="C69" t="n">
        <v>8</v>
      </c>
      <c r="D69" t="n">
        <v>8</v>
      </c>
      <c r="E69" t="n">
        <v>875.25</v>
      </c>
    </row>
    <row r="70">
      <c r="A70" s="19" t="n">
        <v>42767</v>
      </c>
      <c r="B70" t="inlineStr">
        <is>
          <t>furniture_bedroom</t>
        </is>
      </c>
      <c r="C70" t="n">
        <v>1</v>
      </c>
      <c r="D70" t="n">
        <v>1</v>
      </c>
      <c r="E70" t="n">
        <v>501.88</v>
      </c>
    </row>
    <row r="71">
      <c r="A71" s="19" t="n">
        <v>42767</v>
      </c>
      <c r="B71" t="inlineStr">
        <is>
          <t>furniture_decor</t>
        </is>
      </c>
      <c r="C71" t="n">
        <v>213</v>
      </c>
      <c r="D71" t="n">
        <v>257</v>
      </c>
      <c r="E71" t="n">
        <v>25010.2</v>
      </c>
    </row>
    <row r="72">
      <c r="A72" s="19" t="n">
        <v>42767</v>
      </c>
      <c r="B72" t="inlineStr">
        <is>
          <t>furniture_living_room</t>
        </is>
      </c>
      <c r="C72" t="n">
        <v>12</v>
      </c>
      <c r="D72" t="n">
        <v>21</v>
      </c>
      <c r="E72" t="n">
        <v>4372.74</v>
      </c>
    </row>
    <row r="73">
      <c r="A73" s="19" t="n">
        <v>42767</v>
      </c>
      <c r="B73" t="inlineStr">
        <is>
          <t>garden_tools</t>
        </is>
      </c>
      <c r="C73" t="n">
        <v>60</v>
      </c>
      <c r="D73" t="n">
        <v>69</v>
      </c>
      <c r="E73" t="n">
        <v>13190.93</v>
      </c>
    </row>
    <row r="74">
      <c r="A74" s="19" t="n">
        <v>42767</v>
      </c>
      <c r="B74" t="inlineStr">
        <is>
          <t>health_beauty</t>
        </is>
      </c>
      <c r="C74" t="n">
        <v>143</v>
      </c>
      <c r="D74" t="n">
        <v>154</v>
      </c>
      <c r="E74" t="n">
        <v>25178.32</v>
      </c>
    </row>
    <row r="75">
      <c r="A75" s="19" t="n">
        <v>42767</v>
      </c>
      <c r="B75" t="inlineStr">
        <is>
          <t>home_appliances</t>
        </is>
      </c>
      <c r="C75" t="n">
        <v>7</v>
      </c>
      <c r="D75" t="n">
        <v>7</v>
      </c>
      <c r="E75" t="n">
        <v>855.4</v>
      </c>
    </row>
    <row r="76">
      <c r="A76" s="19" t="n">
        <v>42767</v>
      </c>
      <c r="B76" t="inlineStr">
        <is>
          <t>home_appliances_2</t>
        </is>
      </c>
      <c r="C76" t="n">
        <v>1</v>
      </c>
      <c r="D76" t="n">
        <v>1</v>
      </c>
      <c r="E76" t="n">
        <v>30.11</v>
      </c>
    </row>
    <row r="77">
      <c r="A77" s="19" t="n">
        <v>42767</v>
      </c>
      <c r="B77" t="inlineStr">
        <is>
          <t>home_confort</t>
        </is>
      </c>
      <c r="C77" t="n">
        <v>3</v>
      </c>
      <c r="D77" t="n">
        <v>3</v>
      </c>
      <c r="E77" t="n">
        <v>471.27</v>
      </c>
    </row>
    <row r="78">
      <c r="A78" s="19" t="n">
        <v>42767</v>
      </c>
      <c r="B78" t="inlineStr">
        <is>
          <t>home_construction</t>
        </is>
      </c>
      <c r="C78" t="n">
        <v>3</v>
      </c>
      <c r="D78" t="n">
        <v>4</v>
      </c>
      <c r="E78" t="n">
        <v>764.5700000000001</v>
      </c>
    </row>
    <row r="79">
      <c r="A79" s="19" t="n">
        <v>42767</v>
      </c>
      <c r="B79" t="inlineStr">
        <is>
          <t>housewares</t>
        </is>
      </c>
      <c r="C79" t="n">
        <v>61</v>
      </c>
      <c r="D79" t="n">
        <v>69</v>
      </c>
      <c r="E79" t="n">
        <v>12611.34</v>
      </c>
    </row>
    <row r="80">
      <c r="A80" s="19" t="n">
        <v>42767</v>
      </c>
      <c r="B80" t="inlineStr">
        <is>
          <t>industry_commerce_and_business</t>
        </is>
      </c>
      <c r="C80" t="n">
        <v>1</v>
      </c>
      <c r="D80" t="n">
        <v>1</v>
      </c>
      <c r="E80" t="n">
        <v>134.94</v>
      </c>
    </row>
    <row r="81">
      <c r="A81" s="19" t="n">
        <v>42767</v>
      </c>
      <c r="B81" t="inlineStr">
        <is>
          <t>kitchen_dining_laundry_garden_furniture</t>
        </is>
      </c>
      <c r="C81" t="n">
        <v>2</v>
      </c>
      <c r="D81" t="n">
        <v>2</v>
      </c>
      <c r="E81" t="n">
        <v>178.33</v>
      </c>
    </row>
    <row r="82">
      <c r="A82" s="19" t="n">
        <v>42767</v>
      </c>
      <c r="B82" t="inlineStr">
        <is>
          <t>luggage_accessories</t>
        </is>
      </c>
      <c r="C82" t="n">
        <v>19</v>
      </c>
      <c r="D82" t="n">
        <v>20</v>
      </c>
      <c r="E82" t="n">
        <v>2086.65</v>
      </c>
    </row>
    <row r="83">
      <c r="A83" s="19" t="n">
        <v>42767</v>
      </c>
      <c r="B83" t="inlineStr">
        <is>
          <t>market_place</t>
        </is>
      </c>
      <c r="C83" t="n">
        <v>17</v>
      </c>
      <c r="D83" t="n">
        <v>20</v>
      </c>
      <c r="E83" t="n">
        <v>1942.45</v>
      </c>
    </row>
    <row r="84">
      <c r="A84" s="19" t="n">
        <v>42767</v>
      </c>
      <c r="B84" t="inlineStr">
        <is>
          <t>musical_instruments</t>
        </is>
      </c>
      <c r="C84" t="n">
        <v>8</v>
      </c>
      <c r="D84" t="n">
        <v>9</v>
      </c>
      <c r="E84" t="n">
        <v>2465.25</v>
      </c>
    </row>
    <row r="85">
      <c r="A85" s="19" t="n">
        <v>42767</v>
      </c>
      <c r="B85" t="inlineStr">
        <is>
          <t>office_furniture</t>
        </is>
      </c>
      <c r="C85" t="n">
        <v>52</v>
      </c>
      <c r="D85" t="n">
        <v>62</v>
      </c>
      <c r="E85" t="n">
        <v>12857.49</v>
      </c>
    </row>
    <row r="86">
      <c r="A86" s="19" t="n">
        <v>42767</v>
      </c>
      <c r="B86" t="inlineStr">
        <is>
          <t>perfumery</t>
        </is>
      </c>
      <c r="C86" t="n">
        <v>47</v>
      </c>
      <c r="D86" t="n">
        <v>49</v>
      </c>
      <c r="E86" t="n">
        <v>8825.040000000001</v>
      </c>
    </row>
    <row r="87">
      <c r="A87" s="19" t="n">
        <v>42767</v>
      </c>
      <c r="B87" t="inlineStr">
        <is>
          <t>pet_shop</t>
        </is>
      </c>
      <c r="C87" t="n">
        <v>36</v>
      </c>
      <c r="D87" t="n">
        <v>39</v>
      </c>
      <c r="E87" t="n">
        <v>4315.07</v>
      </c>
    </row>
    <row r="88">
      <c r="A88" s="19" t="n">
        <v>42767</v>
      </c>
      <c r="B88" t="inlineStr">
        <is>
          <t>small_appliances</t>
        </is>
      </c>
      <c r="C88" t="n">
        <v>25</v>
      </c>
      <c r="D88" t="n">
        <v>28</v>
      </c>
      <c r="E88" t="n">
        <v>8022.25</v>
      </c>
    </row>
    <row r="89">
      <c r="A89" s="19" t="n">
        <v>42767</v>
      </c>
      <c r="B89" t="inlineStr">
        <is>
          <t>sports_leisure</t>
        </is>
      </c>
      <c r="C89" t="n">
        <v>134</v>
      </c>
      <c r="D89" t="n">
        <v>149</v>
      </c>
      <c r="E89" t="n">
        <v>18519.89</v>
      </c>
    </row>
    <row r="90">
      <c r="A90" s="19" t="n">
        <v>42767</v>
      </c>
      <c r="B90" t="inlineStr">
        <is>
          <t>stationery</t>
        </is>
      </c>
      <c r="C90" t="n">
        <v>19</v>
      </c>
      <c r="D90" t="n">
        <v>19</v>
      </c>
      <c r="E90" t="n">
        <v>2646.03</v>
      </c>
    </row>
    <row r="91">
      <c r="A91" s="19" t="n">
        <v>42767</v>
      </c>
      <c r="B91" t="inlineStr">
        <is>
          <t>tablets_printing_image</t>
        </is>
      </c>
      <c r="C91" t="n">
        <v>8</v>
      </c>
      <c r="D91" t="n">
        <v>8</v>
      </c>
      <c r="E91" t="n">
        <v>940.52</v>
      </c>
    </row>
    <row r="92">
      <c r="A92" s="19" t="n">
        <v>42767</v>
      </c>
      <c r="B92" t="inlineStr">
        <is>
          <t>telephony</t>
        </is>
      </c>
      <c r="C92" t="n">
        <v>95</v>
      </c>
      <c r="D92" t="n">
        <v>106</v>
      </c>
      <c r="E92" t="n">
        <v>8369.639999999999</v>
      </c>
    </row>
    <row r="93">
      <c r="A93" s="19" t="n">
        <v>42767</v>
      </c>
      <c r="B93" t="inlineStr">
        <is>
          <t>toys</t>
        </is>
      </c>
      <c r="C93" t="n">
        <v>61</v>
      </c>
      <c r="D93" t="n">
        <v>66</v>
      </c>
      <c r="E93" t="n">
        <v>10533.61</v>
      </c>
    </row>
    <row r="94">
      <c r="A94" s="19" t="n">
        <v>42767</v>
      </c>
      <c r="B94" t="inlineStr">
        <is>
          <t>unknown</t>
        </is>
      </c>
      <c r="C94" t="n">
        <v>50</v>
      </c>
      <c r="D94" t="n">
        <v>56</v>
      </c>
      <c r="E94" t="n">
        <v>9544.34</v>
      </c>
    </row>
    <row r="95">
      <c r="A95" s="19" t="n">
        <v>42767</v>
      </c>
      <c r="B95" t="inlineStr">
        <is>
          <t>watches_gifts</t>
        </is>
      </c>
      <c r="C95" t="n">
        <v>32</v>
      </c>
      <c r="D95" t="n">
        <v>33</v>
      </c>
      <c r="E95" t="n">
        <v>11524.2</v>
      </c>
    </row>
    <row r="96">
      <c r="A96" s="19" t="n">
        <v>42795</v>
      </c>
      <c r="B96" t="inlineStr">
        <is>
          <t>agro_industry_and_commerce</t>
        </is>
      </c>
      <c r="C96" t="n">
        <v>2</v>
      </c>
      <c r="D96" t="n">
        <v>2</v>
      </c>
      <c r="E96" t="n">
        <v>110.69</v>
      </c>
    </row>
    <row r="97">
      <c r="A97" s="19" t="n">
        <v>42795</v>
      </c>
      <c r="B97" t="inlineStr">
        <is>
          <t>air_conditioning</t>
        </is>
      </c>
      <c r="C97" t="n">
        <v>16</v>
      </c>
      <c r="D97" t="n">
        <v>17</v>
      </c>
      <c r="E97" t="n">
        <v>4390.559999999999</v>
      </c>
    </row>
    <row r="98">
      <c r="A98" s="19" t="n">
        <v>42795</v>
      </c>
      <c r="B98" t="inlineStr">
        <is>
          <t>art</t>
        </is>
      </c>
      <c r="C98" t="n">
        <v>4</v>
      </c>
      <c r="D98" t="n">
        <v>4</v>
      </c>
      <c r="E98" t="n">
        <v>255</v>
      </c>
    </row>
    <row r="99">
      <c r="A99" s="19" t="n">
        <v>42795</v>
      </c>
      <c r="B99" t="inlineStr">
        <is>
          <t>audio</t>
        </is>
      </c>
      <c r="C99" t="n">
        <v>13</v>
      </c>
      <c r="D99" t="n">
        <v>14</v>
      </c>
      <c r="E99" t="n">
        <v>1367.4</v>
      </c>
    </row>
    <row r="100">
      <c r="A100" s="19" t="n">
        <v>42795</v>
      </c>
      <c r="B100" t="inlineStr">
        <is>
          <t>auto</t>
        </is>
      </c>
      <c r="C100" t="n">
        <v>67</v>
      </c>
      <c r="D100" t="n">
        <v>78</v>
      </c>
      <c r="E100" t="n">
        <v>15304.25</v>
      </c>
    </row>
    <row r="101">
      <c r="A101" s="19" t="n">
        <v>42795</v>
      </c>
      <c r="B101" t="inlineStr">
        <is>
          <t>baby</t>
        </is>
      </c>
      <c r="C101" t="n">
        <v>41</v>
      </c>
      <c r="D101" t="n">
        <v>42</v>
      </c>
      <c r="E101" t="n">
        <v>4309.360000000001</v>
      </c>
    </row>
    <row r="102">
      <c r="A102" s="19" t="n">
        <v>42795</v>
      </c>
      <c r="B102" t="inlineStr">
        <is>
          <t>bed_bath_table</t>
        </is>
      </c>
      <c r="C102" t="n">
        <v>239</v>
      </c>
      <c r="D102" t="n">
        <v>279</v>
      </c>
      <c r="E102" t="n">
        <v>29856.01</v>
      </c>
    </row>
    <row r="103">
      <c r="A103" s="19" t="n">
        <v>42795</v>
      </c>
      <c r="B103" t="inlineStr">
        <is>
          <t>books_general_interest</t>
        </is>
      </c>
      <c r="C103" t="n">
        <v>19</v>
      </c>
      <c r="D103" t="n">
        <v>24</v>
      </c>
      <c r="E103" t="n">
        <v>2951.3</v>
      </c>
    </row>
    <row r="104">
      <c r="A104" s="19" t="n">
        <v>42795</v>
      </c>
      <c r="B104" t="inlineStr">
        <is>
          <t>books_technical</t>
        </is>
      </c>
      <c r="C104" t="n">
        <v>2</v>
      </c>
      <c r="D104" t="n">
        <v>2</v>
      </c>
      <c r="E104" t="n">
        <v>103.74</v>
      </c>
    </row>
    <row r="105">
      <c r="A105" s="19" t="n">
        <v>42795</v>
      </c>
      <c r="B105" t="inlineStr">
        <is>
          <t>computers_accessories</t>
        </is>
      </c>
      <c r="C105" t="n">
        <v>147</v>
      </c>
      <c r="D105" t="n">
        <v>171</v>
      </c>
      <c r="E105" t="n">
        <v>31286.73</v>
      </c>
    </row>
    <row r="106">
      <c r="A106" s="19" t="n">
        <v>42795</v>
      </c>
      <c r="B106" t="inlineStr">
        <is>
          <t>consoles_games</t>
        </is>
      </c>
      <c r="C106" t="n">
        <v>45</v>
      </c>
      <c r="D106" t="n">
        <v>47</v>
      </c>
      <c r="E106" t="n">
        <v>10765.59</v>
      </c>
    </row>
    <row r="107">
      <c r="A107" s="19" t="n">
        <v>42795</v>
      </c>
      <c r="B107" t="inlineStr">
        <is>
          <t>construction_tools_construction</t>
        </is>
      </c>
      <c r="C107" t="n">
        <v>1</v>
      </c>
      <c r="D107" t="n">
        <v>1</v>
      </c>
      <c r="E107" t="n">
        <v>53.42</v>
      </c>
    </row>
    <row r="108">
      <c r="A108" s="19" t="n">
        <v>42795</v>
      </c>
      <c r="B108" t="inlineStr">
        <is>
          <t>cool_stuff</t>
        </is>
      </c>
      <c r="C108" t="n">
        <v>116</v>
      </c>
      <c r="D108" t="n">
        <v>118</v>
      </c>
      <c r="E108" t="n">
        <v>22797.12</v>
      </c>
    </row>
    <row r="109">
      <c r="A109" s="19" t="n">
        <v>42795</v>
      </c>
      <c r="B109" t="inlineStr">
        <is>
          <t>drinks</t>
        </is>
      </c>
      <c r="C109" t="n">
        <v>4</v>
      </c>
      <c r="D109" t="n">
        <v>5</v>
      </c>
      <c r="E109" t="n">
        <v>568.4299999999999</v>
      </c>
    </row>
    <row r="110">
      <c r="A110" s="19" t="n">
        <v>42795</v>
      </c>
      <c r="B110" t="inlineStr">
        <is>
          <t>dvds_blu_ray</t>
        </is>
      </c>
      <c r="C110" t="n">
        <v>3</v>
      </c>
      <c r="D110" t="n">
        <v>4</v>
      </c>
      <c r="E110" t="n">
        <v>525.2</v>
      </c>
    </row>
    <row r="111">
      <c r="A111" s="19" t="n">
        <v>42795</v>
      </c>
      <c r="B111" t="inlineStr">
        <is>
          <t>electronics</t>
        </is>
      </c>
      <c r="C111" t="n">
        <v>32</v>
      </c>
      <c r="D111" t="n">
        <v>37</v>
      </c>
      <c r="E111" t="n">
        <v>4655.16</v>
      </c>
    </row>
    <row r="112">
      <c r="A112" s="19" t="n">
        <v>42795</v>
      </c>
      <c r="B112" t="inlineStr">
        <is>
          <t>fashio_female_clothing</t>
        </is>
      </c>
      <c r="C112" t="n">
        <v>1</v>
      </c>
      <c r="D112" t="n">
        <v>1</v>
      </c>
      <c r="E112" t="n">
        <v>30.86</v>
      </c>
    </row>
    <row r="113">
      <c r="A113" s="19" t="n">
        <v>42795</v>
      </c>
      <c r="B113" t="inlineStr">
        <is>
          <t>fashion_bags_accessories</t>
        </is>
      </c>
      <c r="C113" t="n">
        <v>60</v>
      </c>
      <c r="D113" t="n">
        <v>66</v>
      </c>
      <c r="E113" t="n">
        <v>5789.49</v>
      </c>
    </row>
    <row r="114">
      <c r="A114" s="19" t="n">
        <v>42795</v>
      </c>
      <c r="B114" t="inlineStr">
        <is>
          <t>fashion_male_clothing</t>
        </is>
      </c>
      <c r="C114" t="n">
        <v>7</v>
      </c>
      <c r="D114" t="n">
        <v>9</v>
      </c>
      <c r="E114" t="n">
        <v>721.36</v>
      </c>
    </row>
    <row r="115">
      <c r="A115" s="19" t="n">
        <v>42795</v>
      </c>
      <c r="B115" t="inlineStr">
        <is>
          <t>fashion_shoes</t>
        </is>
      </c>
      <c r="C115" t="n">
        <v>13</v>
      </c>
      <c r="D115" t="n">
        <v>14</v>
      </c>
      <c r="E115" t="n">
        <v>1746.18</v>
      </c>
    </row>
    <row r="116">
      <c r="A116" s="19" t="n">
        <v>42795</v>
      </c>
      <c r="B116" t="inlineStr">
        <is>
          <t>fashion_sport</t>
        </is>
      </c>
      <c r="C116" t="n">
        <v>1</v>
      </c>
      <c r="D116" t="n">
        <v>1</v>
      </c>
      <c r="E116" t="n">
        <v>54.01</v>
      </c>
    </row>
    <row r="117">
      <c r="A117" s="19" t="n">
        <v>42795</v>
      </c>
      <c r="B117" t="inlineStr">
        <is>
          <t>fashion_underwear_beach</t>
        </is>
      </c>
      <c r="C117" t="n">
        <v>6</v>
      </c>
      <c r="D117" t="n">
        <v>6</v>
      </c>
      <c r="E117" t="n">
        <v>460.62</v>
      </c>
    </row>
    <row r="118">
      <c r="A118" s="19" t="n">
        <v>42795</v>
      </c>
      <c r="B118" t="inlineStr">
        <is>
          <t>fixed_telephony</t>
        </is>
      </c>
      <c r="C118" t="n">
        <v>14</v>
      </c>
      <c r="D118" t="n">
        <v>20</v>
      </c>
      <c r="E118" t="n">
        <v>1644.25</v>
      </c>
    </row>
    <row r="119">
      <c r="A119" s="19" t="n">
        <v>42795</v>
      </c>
      <c r="B119" t="inlineStr">
        <is>
          <t>food</t>
        </is>
      </c>
      <c r="C119" t="n">
        <v>19</v>
      </c>
      <c r="D119" t="n">
        <v>21</v>
      </c>
      <c r="E119" t="n">
        <v>2830.01</v>
      </c>
    </row>
    <row r="120">
      <c r="A120" s="19" t="n">
        <v>42795</v>
      </c>
      <c r="B120" t="inlineStr">
        <is>
          <t>food_drink</t>
        </is>
      </c>
      <c r="C120" t="n">
        <v>4</v>
      </c>
      <c r="D120" t="n">
        <v>4</v>
      </c>
      <c r="E120" t="n">
        <v>132.93</v>
      </c>
    </row>
    <row r="121">
      <c r="A121" s="19" t="n">
        <v>42795</v>
      </c>
      <c r="B121" t="inlineStr">
        <is>
          <t>furniture_decor</t>
        </is>
      </c>
      <c r="C121" t="n">
        <v>253</v>
      </c>
      <c r="D121" t="n">
        <v>315</v>
      </c>
      <c r="E121" t="n">
        <v>27790.38</v>
      </c>
    </row>
    <row r="122">
      <c r="A122" s="19" t="n">
        <v>42795</v>
      </c>
      <c r="B122" t="inlineStr">
        <is>
          <t>furniture_living_room</t>
        </is>
      </c>
      <c r="C122" t="n">
        <v>17</v>
      </c>
      <c r="D122" t="n">
        <v>24</v>
      </c>
      <c r="E122" t="n">
        <v>4035.67</v>
      </c>
    </row>
    <row r="123">
      <c r="A123" s="19" t="n">
        <v>42795</v>
      </c>
      <c r="B123" t="inlineStr">
        <is>
          <t>garden_tools</t>
        </is>
      </c>
      <c r="C123" t="n">
        <v>117</v>
      </c>
      <c r="D123" t="n">
        <v>146</v>
      </c>
      <c r="E123" t="n">
        <v>26706.99</v>
      </c>
    </row>
    <row r="124">
      <c r="A124" s="19" t="n">
        <v>42795</v>
      </c>
      <c r="B124" t="inlineStr">
        <is>
          <t>health_beauty</t>
        </is>
      </c>
      <c r="C124" t="n">
        <v>190</v>
      </c>
      <c r="D124" t="n">
        <v>208</v>
      </c>
      <c r="E124" t="n">
        <v>29463.99</v>
      </c>
    </row>
    <row r="125">
      <c r="A125" s="19" t="n">
        <v>42795</v>
      </c>
      <c r="B125" t="inlineStr">
        <is>
          <t>home_appliances</t>
        </is>
      </c>
      <c r="C125" t="n">
        <v>9</v>
      </c>
      <c r="D125" t="n">
        <v>10</v>
      </c>
      <c r="E125" t="n">
        <v>466.25</v>
      </c>
    </row>
    <row r="126">
      <c r="A126" s="19" t="n">
        <v>42795</v>
      </c>
      <c r="B126" t="inlineStr">
        <is>
          <t>home_appliances_2</t>
        </is>
      </c>
      <c r="C126" t="n">
        <v>2</v>
      </c>
      <c r="D126" t="n">
        <v>2</v>
      </c>
      <c r="E126" t="n">
        <v>568.4299999999999</v>
      </c>
    </row>
    <row r="127">
      <c r="A127" s="19" t="n">
        <v>42795</v>
      </c>
      <c r="B127" t="inlineStr">
        <is>
          <t>home_comfort_2</t>
        </is>
      </c>
      <c r="C127" t="n">
        <v>3</v>
      </c>
      <c r="D127" t="n">
        <v>3</v>
      </c>
      <c r="E127" t="n">
        <v>390.89</v>
      </c>
    </row>
    <row r="128">
      <c r="A128" s="19" t="n">
        <v>42795</v>
      </c>
      <c r="B128" t="inlineStr">
        <is>
          <t>home_confort</t>
        </is>
      </c>
      <c r="C128" t="n">
        <v>12</v>
      </c>
      <c r="D128" t="n">
        <v>13</v>
      </c>
      <c r="E128" t="n">
        <v>2380.79</v>
      </c>
    </row>
    <row r="129">
      <c r="A129" s="19" t="n">
        <v>42795</v>
      </c>
      <c r="B129" t="inlineStr">
        <is>
          <t>home_construction</t>
        </is>
      </c>
      <c r="C129" t="n">
        <v>5</v>
      </c>
      <c r="D129" t="n">
        <v>10</v>
      </c>
      <c r="E129" t="n">
        <v>718.6900000000001</v>
      </c>
    </row>
    <row r="130">
      <c r="A130" s="19" t="n">
        <v>42795</v>
      </c>
      <c r="B130" t="inlineStr">
        <is>
          <t>housewares</t>
        </is>
      </c>
      <c r="C130" t="n">
        <v>170</v>
      </c>
      <c r="D130" t="n">
        <v>196</v>
      </c>
      <c r="E130" t="n">
        <v>16447.42</v>
      </c>
    </row>
    <row r="131">
      <c r="A131" s="19" t="n">
        <v>42795</v>
      </c>
      <c r="B131" t="inlineStr">
        <is>
          <t>industry_commerce_and_business</t>
        </is>
      </c>
      <c r="C131" t="n">
        <v>2</v>
      </c>
      <c r="D131" t="n">
        <v>2</v>
      </c>
      <c r="E131" t="n">
        <v>282.03</v>
      </c>
    </row>
    <row r="132">
      <c r="A132" s="19" t="n">
        <v>42795</v>
      </c>
      <c r="B132" t="inlineStr">
        <is>
          <t>kitchen_dining_laundry_garden_furniture</t>
        </is>
      </c>
      <c r="C132" t="n">
        <v>3</v>
      </c>
      <c r="D132" t="n">
        <v>3</v>
      </c>
      <c r="E132" t="n">
        <v>169.05</v>
      </c>
    </row>
    <row r="133">
      <c r="A133" s="19" t="n">
        <v>42795</v>
      </c>
      <c r="B133" t="inlineStr">
        <is>
          <t>luggage_accessories</t>
        </is>
      </c>
      <c r="C133" t="n">
        <v>35</v>
      </c>
      <c r="D133" t="n">
        <v>38</v>
      </c>
      <c r="E133" t="n">
        <v>7378.389999999999</v>
      </c>
    </row>
    <row r="134">
      <c r="A134" s="19" t="n">
        <v>42795</v>
      </c>
      <c r="B134" t="inlineStr">
        <is>
          <t>market_place</t>
        </is>
      </c>
      <c r="C134" t="n">
        <v>17</v>
      </c>
      <c r="D134" t="n">
        <v>17</v>
      </c>
      <c r="E134" t="n">
        <v>2075.96</v>
      </c>
    </row>
    <row r="135">
      <c r="A135" s="19" t="n">
        <v>42795</v>
      </c>
      <c r="B135" t="inlineStr">
        <is>
          <t>music</t>
        </is>
      </c>
      <c r="C135" t="n">
        <v>1</v>
      </c>
      <c r="D135" t="n">
        <v>1</v>
      </c>
      <c r="E135" t="n">
        <v>42.51</v>
      </c>
    </row>
    <row r="136">
      <c r="A136" s="19" t="n">
        <v>42795</v>
      </c>
      <c r="B136" t="inlineStr">
        <is>
          <t>musical_instruments</t>
        </is>
      </c>
      <c r="C136" t="n">
        <v>9</v>
      </c>
      <c r="D136" t="n">
        <v>10</v>
      </c>
      <c r="E136" t="n">
        <v>1887.51</v>
      </c>
    </row>
    <row r="137">
      <c r="A137" s="19" t="n">
        <v>42795</v>
      </c>
      <c r="B137" t="inlineStr">
        <is>
          <t>office_furniture</t>
        </is>
      </c>
      <c r="C137" t="n">
        <v>58</v>
      </c>
      <c r="D137" t="n">
        <v>74</v>
      </c>
      <c r="E137" t="n">
        <v>13152.68</v>
      </c>
    </row>
    <row r="138">
      <c r="A138" s="19" t="n">
        <v>42795</v>
      </c>
      <c r="B138" t="inlineStr">
        <is>
          <t>perfumery</t>
        </is>
      </c>
      <c r="C138" t="n">
        <v>103</v>
      </c>
      <c r="D138" t="n">
        <v>105</v>
      </c>
      <c r="E138" t="n">
        <v>21383.4</v>
      </c>
    </row>
    <row r="139">
      <c r="A139" s="19" t="n">
        <v>42795</v>
      </c>
      <c r="B139" t="inlineStr">
        <is>
          <t>pet_shop</t>
        </is>
      </c>
      <c r="C139" t="n">
        <v>40</v>
      </c>
      <c r="D139" t="n">
        <v>44</v>
      </c>
      <c r="E139" t="n">
        <v>9008.299999999999</v>
      </c>
    </row>
    <row r="140">
      <c r="A140" s="19" t="n">
        <v>42795</v>
      </c>
      <c r="B140" t="inlineStr">
        <is>
          <t>signaling_and_security</t>
        </is>
      </c>
      <c r="C140" t="n">
        <v>1</v>
      </c>
      <c r="D140" t="n">
        <v>1</v>
      </c>
      <c r="E140" t="n">
        <v>91.23</v>
      </c>
    </row>
    <row r="141">
      <c r="A141" s="19" t="n">
        <v>42795</v>
      </c>
      <c r="B141" t="inlineStr">
        <is>
          <t>small_appliances</t>
        </is>
      </c>
      <c r="C141" t="n">
        <v>31</v>
      </c>
      <c r="D141" t="n">
        <v>31</v>
      </c>
      <c r="E141" t="n">
        <v>12028.55</v>
      </c>
    </row>
    <row r="142">
      <c r="A142" s="19" t="n">
        <v>42795</v>
      </c>
      <c r="B142" t="inlineStr">
        <is>
          <t>sports_leisure</t>
        </is>
      </c>
      <c r="C142" t="n">
        <v>164</v>
      </c>
      <c r="D142" t="n">
        <v>190</v>
      </c>
      <c r="E142" t="n">
        <v>29343.27</v>
      </c>
    </row>
    <row r="143">
      <c r="A143" s="19" t="n">
        <v>42795</v>
      </c>
      <c r="B143" t="inlineStr">
        <is>
          <t>stationery</t>
        </is>
      </c>
      <c r="C143" t="n">
        <v>56</v>
      </c>
      <c r="D143" t="n">
        <v>56</v>
      </c>
      <c r="E143" t="n">
        <v>6994.89</v>
      </c>
    </row>
    <row r="144">
      <c r="A144" s="19" t="n">
        <v>42795</v>
      </c>
      <c r="B144" t="inlineStr">
        <is>
          <t>tablets_printing_image</t>
        </is>
      </c>
      <c r="C144" t="n">
        <v>5</v>
      </c>
      <c r="D144" t="n">
        <v>5</v>
      </c>
      <c r="E144" t="n">
        <v>587.91</v>
      </c>
    </row>
    <row r="145">
      <c r="A145" s="19" t="n">
        <v>42795</v>
      </c>
      <c r="B145" t="inlineStr">
        <is>
          <t>telephony</t>
        </is>
      </c>
      <c r="C145" t="n">
        <v>153</v>
      </c>
      <c r="D145" t="n">
        <v>165</v>
      </c>
      <c r="E145" t="n">
        <v>10366.15</v>
      </c>
    </row>
    <row r="146">
      <c r="A146" s="19" t="n">
        <v>42795</v>
      </c>
      <c r="B146" t="inlineStr">
        <is>
          <t>toys</t>
        </is>
      </c>
      <c r="C146" t="n">
        <v>99</v>
      </c>
      <c r="D146" t="n">
        <v>102</v>
      </c>
      <c r="E146" t="n">
        <v>14248.29</v>
      </c>
    </row>
    <row r="147">
      <c r="A147" s="19" t="n">
        <v>42795</v>
      </c>
      <c r="B147" t="inlineStr">
        <is>
          <t>unknown</t>
        </is>
      </c>
      <c r="C147" t="n">
        <v>54</v>
      </c>
      <c r="D147" t="n">
        <v>60</v>
      </c>
      <c r="E147" t="n">
        <v>7459.32</v>
      </c>
    </row>
    <row r="148">
      <c r="A148" s="19" t="n">
        <v>42795</v>
      </c>
      <c r="B148" t="inlineStr">
        <is>
          <t>watches_gifts</t>
        </is>
      </c>
      <c r="C148" t="n">
        <v>74</v>
      </c>
      <c r="D148" t="n">
        <v>79</v>
      </c>
      <c r="E148" t="n">
        <v>26152.34</v>
      </c>
    </row>
    <row r="149">
      <c r="A149" s="19" t="n">
        <v>42826</v>
      </c>
      <c r="B149" t="inlineStr">
        <is>
          <t>air_conditioning</t>
        </is>
      </c>
      <c r="C149" t="n">
        <v>13</v>
      </c>
      <c r="D149" t="n">
        <v>15</v>
      </c>
      <c r="E149" t="n">
        <v>2748.32</v>
      </c>
    </row>
    <row r="150">
      <c r="A150" s="19" t="n">
        <v>42826</v>
      </c>
      <c r="B150" t="inlineStr">
        <is>
          <t>art</t>
        </is>
      </c>
      <c r="C150" t="n">
        <v>1</v>
      </c>
      <c r="D150" t="n">
        <v>1</v>
      </c>
      <c r="E150" t="n">
        <v>147.17</v>
      </c>
    </row>
    <row r="151">
      <c r="A151" s="19" t="n">
        <v>42826</v>
      </c>
      <c r="B151" t="inlineStr">
        <is>
          <t>audio</t>
        </is>
      </c>
      <c r="C151" t="n">
        <v>9</v>
      </c>
      <c r="D151" t="n">
        <v>11</v>
      </c>
      <c r="E151" t="n">
        <v>1103.95</v>
      </c>
    </row>
    <row r="152">
      <c r="A152" s="19" t="n">
        <v>42826</v>
      </c>
      <c r="B152" t="inlineStr">
        <is>
          <t>auto</t>
        </is>
      </c>
      <c r="C152" t="n">
        <v>77</v>
      </c>
      <c r="D152" t="n">
        <v>84</v>
      </c>
      <c r="E152" t="n">
        <v>17314.91</v>
      </c>
    </row>
    <row r="153">
      <c r="A153" s="19" t="n">
        <v>42826</v>
      </c>
      <c r="B153" t="inlineStr">
        <is>
          <t>baby</t>
        </is>
      </c>
      <c r="C153" t="n">
        <v>47</v>
      </c>
      <c r="D153" t="n">
        <v>50</v>
      </c>
      <c r="E153" t="n">
        <v>4790.67</v>
      </c>
    </row>
    <row r="154">
      <c r="A154" s="19" t="n">
        <v>42826</v>
      </c>
      <c r="B154" t="inlineStr">
        <is>
          <t>bed_bath_table</t>
        </is>
      </c>
      <c r="C154" t="n">
        <v>231</v>
      </c>
      <c r="D154" t="n">
        <v>271</v>
      </c>
      <c r="E154" t="n">
        <v>28700.38</v>
      </c>
    </row>
    <row r="155">
      <c r="A155" s="19" t="n">
        <v>42826</v>
      </c>
      <c r="B155" t="inlineStr">
        <is>
          <t>books_general_interest</t>
        </is>
      </c>
      <c r="C155" t="n">
        <v>12</v>
      </c>
      <c r="D155" t="n">
        <v>12</v>
      </c>
      <c r="E155" t="n">
        <v>1142.79</v>
      </c>
    </row>
    <row r="156">
      <c r="A156" s="19" t="n">
        <v>42826</v>
      </c>
      <c r="B156" t="inlineStr">
        <is>
          <t>books_imported</t>
        </is>
      </c>
      <c r="C156" t="n">
        <v>1</v>
      </c>
      <c r="D156" t="n">
        <v>1</v>
      </c>
      <c r="E156" t="n">
        <v>33.43</v>
      </c>
    </row>
    <row r="157">
      <c r="A157" s="19" t="n">
        <v>42826</v>
      </c>
      <c r="B157" t="inlineStr">
        <is>
          <t>books_technical</t>
        </is>
      </c>
      <c r="C157" t="n">
        <v>1</v>
      </c>
      <c r="D157" t="n">
        <v>1</v>
      </c>
      <c r="E157" t="n">
        <v>86.92</v>
      </c>
    </row>
    <row r="158">
      <c r="A158" s="19" t="n">
        <v>42826</v>
      </c>
      <c r="B158" t="inlineStr">
        <is>
          <t>christmas_supplies</t>
        </is>
      </c>
      <c r="C158" t="n">
        <v>1</v>
      </c>
      <c r="D158" t="n">
        <v>1</v>
      </c>
      <c r="E158" t="n">
        <v>93.97</v>
      </c>
    </row>
    <row r="159">
      <c r="A159" s="19" t="n">
        <v>42826</v>
      </c>
      <c r="B159" t="inlineStr">
        <is>
          <t>cine_photo</t>
        </is>
      </c>
      <c r="C159" t="n">
        <v>2</v>
      </c>
      <c r="D159" t="n">
        <v>2</v>
      </c>
      <c r="E159" t="n">
        <v>166.31</v>
      </c>
    </row>
    <row r="160">
      <c r="A160" s="19" t="n">
        <v>42826</v>
      </c>
      <c r="B160" t="inlineStr">
        <is>
          <t>computers_accessories</t>
        </is>
      </c>
      <c r="C160" t="n">
        <v>116</v>
      </c>
      <c r="D160" t="n">
        <v>132</v>
      </c>
      <c r="E160" t="n">
        <v>20764.87</v>
      </c>
    </row>
    <row r="161">
      <c r="A161" s="19" t="n">
        <v>42826</v>
      </c>
      <c r="B161" t="inlineStr">
        <is>
          <t>consoles_games</t>
        </is>
      </c>
      <c r="C161" t="n">
        <v>15</v>
      </c>
      <c r="D161" t="n">
        <v>17</v>
      </c>
      <c r="E161" t="n">
        <v>4072.8</v>
      </c>
    </row>
    <row r="162">
      <c r="A162" s="19" t="n">
        <v>42826</v>
      </c>
      <c r="B162" t="inlineStr">
        <is>
          <t>cool_stuff</t>
        </is>
      </c>
      <c r="C162" t="n">
        <v>112</v>
      </c>
      <c r="D162" t="n">
        <v>114</v>
      </c>
      <c r="E162" t="n">
        <v>23358.58</v>
      </c>
    </row>
    <row r="163">
      <c r="A163" s="19" t="n">
        <v>42826</v>
      </c>
      <c r="B163" t="inlineStr">
        <is>
          <t>costruction_tools_garden</t>
        </is>
      </c>
      <c r="C163" t="n">
        <v>7</v>
      </c>
      <c r="D163" t="n">
        <v>8</v>
      </c>
      <c r="E163" t="n">
        <v>1680.57</v>
      </c>
    </row>
    <row r="164">
      <c r="A164" s="19" t="n">
        <v>42826</v>
      </c>
      <c r="B164" t="inlineStr">
        <is>
          <t>costruction_tools_tools</t>
        </is>
      </c>
      <c r="C164" t="n">
        <v>1</v>
      </c>
      <c r="D164" t="n">
        <v>1</v>
      </c>
      <c r="E164" t="n">
        <v>748.27</v>
      </c>
    </row>
    <row r="165">
      <c r="A165" s="19" t="n">
        <v>42826</v>
      </c>
      <c r="B165" t="inlineStr">
        <is>
          <t>dvds_blu_ray</t>
        </is>
      </c>
      <c r="C165" t="n">
        <v>2</v>
      </c>
      <c r="D165" t="n">
        <v>2</v>
      </c>
      <c r="E165" t="n">
        <v>1466.34</v>
      </c>
    </row>
    <row r="166">
      <c r="A166" s="19" t="n">
        <v>42826</v>
      </c>
      <c r="B166" t="inlineStr">
        <is>
          <t>electronics</t>
        </is>
      </c>
      <c r="C166" t="n">
        <v>47</v>
      </c>
      <c r="D166" t="n">
        <v>48</v>
      </c>
      <c r="E166" t="n">
        <v>5611.49</v>
      </c>
    </row>
    <row r="167">
      <c r="A167" s="19" t="n">
        <v>42826</v>
      </c>
      <c r="B167" t="inlineStr">
        <is>
          <t>fashio_female_clothing</t>
        </is>
      </c>
      <c r="C167" t="n">
        <v>1</v>
      </c>
      <c r="D167" t="n">
        <v>1</v>
      </c>
      <c r="E167" t="n">
        <v>87.73999999999999</v>
      </c>
    </row>
    <row r="168">
      <c r="A168" s="19" t="n">
        <v>42826</v>
      </c>
      <c r="B168" t="inlineStr">
        <is>
          <t>fashion_bags_accessories</t>
        </is>
      </c>
      <c r="C168" t="n">
        <v>44</v>
      </c>
      <c r="D168" t="n">
        <v>48</v>
      </c>
      <c r="E168" t="n">
        <v>3831.78</v>
      </c>
    </row>
    <row r="169">
      <c r="A169" s="19" t="n">
        <v>42826</v>
      </c>
      <c r="B169" t="inlineStr">
        <is>
          <t>fashion_male_clothing</t>
        </is>
      </c>
      <c r="C169" t="n">
        <v>5</v>
      </c>
      <c r="D169" t="n">
        <v>5</v>
      </c>
      <c r="E169" t="n">
        <v>437.39</v>
      </c>
    </row>
    <row r="170">
      <c r="A170" s="19" t="n">
        <v>42826</v>
      </c>
      <c r="B170" t="inlineStr">
        <is>
          <t>fashion_shoes</t>
        </is>
      </c>
      <c r="C170" t="n">
        <v>20</v>
      </c>
      <c r="D170" t="n">
        <v>23</v>
      </c>
      <c r="E170" t="n">
        <v>1946.37</v>
      </c>
    </row>
    <row r="171">
      <c r="A171" s="19" t="n">
        <v>42826</v>
      </c>
      <c r="B171" t="inlineStr">
        <is>
          <t>fashion_sport</t>
        </is>
      </c>
      <c r="C171" t="n">
        <v>4</v>
      </c>
      <c r="D171" t="n">
        <v>4</v>
      </c>
      <c r="E171" t="n">
        <v>244.47</v>
      </c>
    </row>
    <row r="172">
      <c r="A172" s="19" t="n">
        <v>42826</v>
      </c>
      <c r="B172" t="inlineStr">
        <is>
          <t>fashion_underwear_beach</t>
        </is>
      </c>
      <c r="C172" t="n">
        <v>3</v>
      </c>
      <c r="D172" t="n">
        <v>3</v>
      </c>
      <c r="E172" t="n">
        <v>132.97</v>
      </c>
    </row>
    <row r="173">
      <c r="A173" s="19" t="n">
        <v>42826</v>
      </c>
      <c r="B173" t="inlineStr">
        <is>
          <t>fixed_telephony</t>
        </is>
      </c>
      <c r="C173" t="n">
        <v>6</v>
      </c>
      <c r="D173" t="n">
        <v>6</v>
      </c>
      <c r="E173" t="n">
        <v>601.87</v>
      </c>
    </row>
    <row r="174">
      <c r="A174" s="19" t="n">
        <v>42826</v>
      </c>
      <c r="B174" t="inlineStr">
        <is>
          <t>food</t>
        </is>
      </c>
      <c r="C174" t="n">
        <v>8</v>
      </c>
      <c r="D174" t="n">
        <v>8</v>
      </c>
      <c r="E174" t="n">
        <v>611.15</v>
      </c>
    </row>
    <row r="175">
      <c r="A175" s="19" t="n">
        <v>42826</v>
      </c>
      <c r="B175" t="inlineStr">
        <is>
          <t>food_drink</t>
        </is>
      </c>
      <c r="C175" t="n">
        <v>2</v>
      </c>
      <c r="D175" t="n">
        <v>3</v>
      </c>
      <c r="E175" t="n">
        <v>80.78</v>
      </c>
    </row>
    <row r="176">
      <c r="A176" s="19" t="n">
        <v>42826</v>
      </c>
      <c r="B176" t="inlineStr">
        <is>
          <t>furniture_bedroom</t>
        </is>
      </c>
      <c r="C176" t="n">
        <v>3</v>
      </c>
      <c r="D176" t="n">
        <v>3</v>
      </c>
      <c r="E176" t="n">
        <v>831.36</v>
      </c>
    </row>
    <row r="177">
      <c r="A177" s="19" t="n">
        <v>42826</v>
      </c>
      <c r="B177" t="inlineStr">
        <is>
          <t>furniture_decor</t>
        </is>
      </c>
      <c r="C177" t="n">
        <v>162</v>
      </c>
      <c r="D177" t="n">
        <v>191</v>
      </c>
      <c r="E177" t="n">
        <v>23265.61</v>
      </c>
    </row>
    <row r="178">
      <c r="A178" s="19" t="n">
        <v>42826</v>
      </c>
      <c r="B178" t="inlineStr">
        <is>
          <t>furniture_living_room</t>
        </is>
      </c>
      <c r="C178" t="n">
        <v>11</v>
      </c>
      <c r="D178" t="n">
        <v>12</v>
      </c>
      <c r="E178" t="n">
        <v>2526.11</v>
      </c>
    </row>
    <row r="179">
      <c r="A179" s="19" t="n">
        <v>42826</v>
      </c>
      <c r="B179" t="inlineStr">
        <is>
          <t>furniture_mattress_and_upholstery</t>
        </is>
      </c>
      <c r="C179" t="n">
        <v>1</v>
      </c>
      <c r="D179" t="n">
        <v>1</v>
      </c>
      <c r="E179" t="n">
        <v>130.8</v>
      </c>
    </row>
    <row r="180">
      <c r="A180" s="19" t="n">
        <v>42826</v>
      </c>
      <c r="B180" t="inlineStr">
        <is>
          <t>garden_tools</t>
        </is>
      </c>
      <c r="C180" t="n">
        <v>93</v>
      </c>
      <c r="D180" t="n">
        <v>108</v>
      </c>
      <c r="E180" t="n">
        <v>20028.39</v>
      </c>
    </row>
    <row r="181">
      <c r="A181" s="19" t="n">
        <v>42826</v>
      </c>
      <c r="B181" t="inlineStr">
        <is>
          <t>health_beauty</t>
        </is>
      </c>
      <c r="C181" t="n">
        <v>168</v>
      </c>
      <c r="D181" t="n">
        <v>180</v>
      </c>
      <c r="E181" t="n">
        <v>25454.2</v>
      </c>
    </row>
    <row r="182">
      <c r="A182" s="19" t="n">
        <v>42826</v>
      </c>
      <c r="B182" t="inlineStr">
        <is>
          <t>home_appliances</t>
        </is>
      </c>
      <c r="C182" t="n">
        <v>9</v>
      </c>
      <c r="D182" t="n">
        <v>10</v>
      </c>
      <c r="E182" t="n">
        <v>635.5699999999999</v>
      </c>
    </row>
    <row r="183">
      <c r="A183" s="19" t="n">
        <v>42826</v>
      </c>
      <c r="B183" t="inlineStr">
        <is>
          <t>home_appliances_2</t>
        </is>
      </c>
      <c r="C183" t="n">
        <v>2</v>
      </c>
      <c r="D183" t="n">
        <v>2</v>
      </c>
      <c r="E183" t="n">
        <v>946.97</v>
      </c>
    </row>
    <row r="184">
      <c r="A184" s="19" t="n">
        <v>42826</v>
      </c>
      <c r="B184" t="inlineStr">
        <is>
          <t>home_comfort_2</t>
        </is>
      </c>
      <c r="C184" t="n">
        <v>1</v>
      </c>
      <c r="D184" t="n">
        <v>1</v>
      </c>
      <c r="E184" t="n">
        <v>23.86</v>
      </c>
    </row>
    <row r="185">
      <c r="A185" s="19" t="n">
        <v>42826</v>
      </c>
      <c r="B185" t="inlineStr">
        <is>
          <t>home_confort</t>
        </is>
      </c>
      <c r="C185" t="n">
        <v>16</v>
      </c>
      <c r="D185" t="n">
        <v>17</v>
      </c>
      <c r="E185" t="n">
        <v>2712.95</v>
      </c>
    </row>
    <row r="186">
      <c r="A186" s="19" t="n">
        <v>42826</v>
      </c>
      <c r="B186" t="inlineStr">
        <is>
          <t>home_construction</t>
        </is>
      </c>
      <c r="C186" t="n">
        <v>5</v>
      </c>
      <c r="D186" t="n">
        <v>5</v>
      </c>
      <c r="E186" t="n">
        <v>1696.94</v>
      </c>
    </row>
    <row r="187">
      <c r="A187" s="19" t="n">
        <v>42826</v>
      </c>
      <c r="B187" t="inlineStr">
        <is>
          <t>housewares</t>
        </is>
      </c>
      <c r="C187" t="n">
        <v>134</v>
      </c>
      <c r="D187" t="n">
        <v>169</v>
      </c>
      <c r="E187" t="n">
        <v>15549.76</v>
      </c>
    </row>
    <row r="188">
      <c r="A188" s="19" t="n">
        <v>42826</v>
      </c>
      <c r="B188" t="inlineStr">
        <is>
          <t>kitchen_dining_laundry_garden_furniture</t>
        </is>
      </c>
      <c r="C188" t="n">
        <v>8</v>
      </c>
      <c r="D188" t="n">
        <v>9</v>
      </c>
      <c r="E188" t="n">
        <v>1282.1</v>
      </c>
    </row>
    <row r="189">
      <c r="A189" s="19" t="n">
        <v>42826</v>
      </c>
      <c r="B189" t="inlineStr">
        <is>
          <t>la_cuisine</t>
        </is>
      </c>
      <c r="C189" t="n">
        <v>1</v>
      </c>
      <c r="D189" t="n">
        <v>1</v>
      </c>
      <c r="E189" t="n">
        <v>34.81</v>
      </c>
    </row>
    <row r="190">
      <c r="A190" s="19" t="n">
        <v>42826</v>
      </c>
      <c r="B190" t="inlineStr">
        <is>
          <t>luggage_accessories</t>
        </is>
      </c>
      <c r="C190" t="n">
        <v>46</v>
      </c>
      <c r="D190" t="n">
        <v>48</v>
      </c>
      <c r="E190" t="n">
        <v>8568.809999999999</v>
      </c>
    </row>
    <row r="191">
      <c r="A191" s="19" t="n">
        <v>42826</v>
      </c>
      <c r="B191" t="inlineStr">
        <is>
          <t>market_place</t>
        </is>
      </c>
      <c r="C191" t="n">
        <v>19</v>
      </c>
      <c r="D191" t="n">
        <v>19</v>
      </c>
      <c r="E191" t="n">
        <v>4479.02</v>
      </c>
    </row>
    <row r="192">
      <c r="A192" s="19" t="n">
        <v>42826</v>
      </c>
      <c r="B192" t="inlineStr">
        <is>
          <t>music</t>
        </is>
      </c>
      <c r="C192" t="n">
        <v>2</v>
      </c>
      <c r="D192" t="n">
        <v>2</v>
      </c>
      <c r="E192" t="n">
        <v>88.84</v>
      </c>
    </row>
    <row r="193">
      <c r="A193" s="19" t="n">
        <v>42826</v>
      </c>
      <c r="B193" t="inlineStr">
        <is>
          <t>musical_instruments</t>
        </is>
      </c>
      <c r="C193" t="n">
        <v>16</v>
      </c>
      <c r="D193" t="n">
        <v>16</v>
      </c>
      <c r="E193" t="n">
        <v>4114.27</v>
      </c>
    </row>
    <row r="194">
      <c r="A194" s="19" t="n">
        <v>42826</v>
      </c>
      <c r="B194" t="inlineStr">
        <is>
          <t>office_furniture</t>
        </is>
      </c>
      <c r="C194" t="n">
        <v>48</v>
      </c>
      <c r="D194" t="n">
        <v>58</v>
      </c>
      <c r="E194" t="n">
        <v>11164.03</v>
      </c>
    </row>
    <row r="195">
      <c r="A195" s="19" t="n">
        <v>42826</v>
      </c>
      <c r="B195" t="inlineStr">
        <is>
          <t>pc_gamer</t>
        </is>
      </c>
      <c r="C195" t="n">
        <v>2</v>
      </c>
      <c r="D195" t="n">
        <v>2</v>
      </c>
      <c r="E195" t="n">
        <v>289.73</v>
      </c>
    </row>
    <row r="196">
      <c r="A196" s="19" t="n">
        <v>42826</v>
      </c>
      <c r="B196" t="inlineStr">
        <is>
          <t>perfumery</t>
        </is>
      </c>
      <c r="C196" t="n">
        <v>97</v>
      </c>
      <c r="D196" t="n">
        <v>101</v>
      </c>
      <c r="E196" t="n">
        <v>21124.96</v>
      </c>
    </row>
    <row r="197">
      <c r="A197" s="19" t="n">
        <v>42826</v>
      </c>
      <c r="B197" t="inlineStr">
        <is>
          <t>pet_shop</t>
        </is>
      </c>
      <c r="C197" t="n">
        <v>46</v>
      </c>
      <c r="D197" t="n">
        <v>51</v>
      </c>
      <c r="E197" t="n">
        <v>7126.84</v>
      </c>
    </row>
    <row r="198">
      <c r="A198" s="19" t="n">
        <v>42826</v>
      </c>
      <c r="B198" t="inlineStr">
        <is>
          <t>signaling_and_security</t>
        </is>
      </c>
      <c r="C198" t="n">
        <v>3</v>
      </c>
      <c r="D198" t="n">
        <v>3</v>
      </c>
      <c r="E198" t="n">
        <v>183.65</v>
      </c>
    </row>
    <row r="199">
      <c r="A199" s="19" t="n">
        <v>42826</v>
      </c>
      <c r="B199" t="inlineStr">
        <is>
          <t>small_appliances</t>
        </is>
      </c>
      <c r="C199" t="n">
        <v>20</v>
      </c>
      <c r="D199" t="n">
        <v>20</v>
      </c>
      <c r="E199" t="n">
        <v>23918.29</v>
      </c>
    </row>
    <row r="200">
      <c r="A200" s="19" t="n">
        <v>42826</v>
      </c>
      <c r="B200" t="inlineStr">
        <is>
          <t>sports_leisure</t>
        </is>
      </c>
      <c r="C200" t="n">
        <v>184</v>
      </c>
      <c r="D200" t="n">
        <v>203</v>
      </c>
      <c r="E200" t="n">
        <v>26977.69</v>
      </c>
    </row>
    <row r="201">
      <c r="A201" s="19" t="n">
        <v>42826</v>
      </c>
      <c r="B201" t="inlineStr">
        <is>
          <t>stationery</t>
        </is>
      </c>
      <c r="C201" t="n">
        <v>35</v>
      </c>
      <c r="D201" t="n">
        <v>35</v>
      </c>
      <c r="E201" t="n">
        <v>5119.99</v>
      </c>
    </row>
    <row r="202">
      <c r="A202" s="19" t="n">
        <v>42826</v>
      </c>
      <c r="B202" t="inlineStr">
        <is>
          <t>tablets_printing_image</t>
        </is>
      </c>
      <c r="C202" t="n">
        <v>9</v>
      </c>
      <c r="D202" t="n">
        <v>11</v>
      </c>
      <c r="E202" t="n">
        <v>1312.23</v>
      </c>
    </row>
    <row r="203">
      <c r="A203" s="19" t="n">
        <v>42826</v>
      </c>
      <c r="B203" t="inlineStr">
        <is>
          <t>telephony</t>
        </is>
      </c>
      <c r="C203" t="n">
        <v>138</v>
      </c>
      <c r="D203" t="n">
        <v>142</v>
      </c>
      <c r="E203" t="n">
        <v>9369.59</v>
      </c>
    </row>
    <row r="204">
      <c r="A204" s="19" t="n">
        <v>42826</v>
      </c>
      <c r="B204" t="inlineStr">
        <is>
          <t>toys</t>
        </is>
      </c>
      <c r="C204" t="n">
        <v>103</v>
      </c>
      <c r="D204" t="n">
        <v>113</v>
      </c>
      <c r="E204" t="n">
        <v>14983.58</v>
      </c>
    </row>
    <row r="205">
      <c r="A205" s="19" t="n">
        <v>42826</v>
      </c>
      <c r="B205" t="inlineStr">
        <is>
          <t>unknown</t>
        </is>
      </c>
      <c r="C205" t="n">
        <v>61</v>
      </c>
      <c r="D205" t="n">
        <v>69</v>
      </c>
      <c r="E205" t="n">
        <v>9906.710000000001</v>
      </c>
    </row>
    <row r="206">
      <c r="A206" s="19" t="n">
        <v>42826</v>
      </c>
      <c r="B206" t="inlineStr">
        <is>
          <t>watches_gifts</t>
        </is>
      </c>
      <c r="C206" t="n">
        <v>88</v>
      </c>
      <c r="D206" t="n">
        <v>95</v>
      </c>
      <c r="E206" t="n">
        <v>24958.48</v>
      </c>
    </row>
    <row r="207">
      <c r="A207" s="19" t="n">
        <v>42856</v>
      </c>
      <c r="B207" t="inlineStr">
        <is>
          <t>agro_industry_and_commerce</t>
        </is>
      </c>
      <c r="C207" t="n">
        <v>4</v>
      </c>
      <c r="D207" t="n">
        <v>4</v>
      </c>
      <c r="E207" t="n">
        <v>1763.74</v>
      </c>
    </row>
    <row r="208">
      <c r="A208" s="19" t="n">
        <v>42856</v>
      </c>
      <c r="B208" t="inlineStr">
        <is>
          <t>air_conditioning</t>
        </is>
      </c>
      <c r="C208" t="n">
        <v>6</v>
      </c>
      <c r="D208" t="n">
        <v>7</v>
      </c>
      <c r="E208" t="n">
        <v>1068.45</v>
      </c>
    </row>
    <row r="209">
      <c r="A209" s="19" t="n">
        <v>42856</v>
      </c>
      <c r="B209" t="inlineStr">
        <is>
          <t>art</t>
        </is>
      </c>
      <c r="C209" t="n">
        <v>6</v>
      </c>
      <c r="D209" t="n">
        <v>6</v>
      </c>
      <c r="E209" t="n">
        <v>7302.75</v>
      </c>
    </row>
    <row r="210">
      <c r="A210" s="19" t="n">
        <v>42856</v>
      </c>
      <c r="B210" t="inlineStr">
        <is>
          <t>arts_and_craftmanship</t>
        </is>
      </c>
      <c r="C210" t="n">
        <v>1</v>
      </c>
      <c r="D210" t="n">
        <v>1</v>
      </c>
      <c r="E210" t="n">
        <v>29.66</v>
      </c>
    </row>
    <row r="211">
      <c r="A211" s="19" t="n">
        <v>42856</v>
      </c>
      <c r="B211" t="inlineStr">
        <is>
          <t>audio</t>
        </is>
      </c>
      <c r="C211" t="n">
        <v>17</v>
      </c>
      <c r="D211" t="n">
        <v>17</v>
      </c>
      <c r="E211" t="n">
        <v>2333.19</v>
      </c>
    </row>
    <row r="212">
      <c r="A212" s="19" t="n">
        <v>42856</v>
      </c>
      <c r="B212" t="inlineStr">
        <is>
          <t>auto</t>
        </is>
      </c>
      <c r="C212" t="n">
        <v>99</v>
      </c>
      <c r="D212" t="n">
        <v>113</v>
      </c>
      <c r="E212" t="n">
        <v>20227.3</v>
      </c>
    </row>
    <row r="213">
      <c r="A213" s="19" t="n">
        <v>42856</v>
      </c>
      <c r="B213" t="inlineStr">
        <is>
          <t>baby</t>
        </is>
      </c>
      <c r="C213" t="n">
        <v>96</v>
      </c>
      <c r="D213" t="n">
        <v>102</v>
      </c>
      <c r="E213" t="n">
        <v>10709.54</v>
      </c>
    </row>
    <row r="214">
      <c r="A214" s="19" t="n">
        <v>42856</v>
      </c>
      <c r="B214" t="inlineStr">
        <is>
          <t>bed_bath_table</t>
        </is>
      </c>
      <c r="C214" t="n">
        <v>323</v>
      </c>
      <c r="D214" t="n">
        <v>361</v>
      </c>
      <c r="E214" t="n">
        <v>38920.54</v>
      </c>
    </row>
    <row r="215">
      <c r="A215" s="19" t="n">
        <v>42856</v>
      </c>
      <c r="B215" t="inlineStr">
        <is>
          <t>books_general_interest</t>
        </is>
      </c>
      <c r="C215" t="n">
        <v>19</v>
      </c>
      <c r="D215" t="n">
        <v>20</v>
      </c>
      <c r="E215" t="n">
        <v>2199.17</v>
      </c>
    </row>
    <row r="216">
      <c r="A216" s="19" t="n">
        <v>42856</v>
      </c>
      <c r="B216" t="inlineStr">
        <is>
          <t>books_technical</t>
        </is>
      </c>
      <c r="C216" t="n">
        <v>3</v>
      </c>
      <c r="D216" t="n">
        <v>3</v>
      </c>
      <c r="E216" t="n">
        <v>316.46</v>
      </c>
    </row>
    <row r="217">
      <c r="A217" s="19" t="n">
        <v>42856</v>
      </c>
      <c r="B217" t="inlineStr">
        <is>
          <t>cine_photo</t>
        </is>
      </c>
      <c r="C217" t="n">
        <v>1</v>
      </c>
      <c r="D217" t="n">
        <v>1</v>
      </c>
      <c r="E217" t="n">
        <v>91.70999999999999</v>
      </c>
    </row>
    <row r="218">
      <c r="A218" s="19" t="n">
        <v>42856</v>
      </c>
      <c r="B218" t="inlineStr">
        <is>
          <t>computers_accessories</t>
        </is>
      </c>
      <c r="C218" t="n">
        <v>253</v>
      </c>
      <c r="D218" t="n">
        <v>309</v>
      </c>
      <c r="E218" t="n">
        <v>50303.12</v>
      </c>
    </row>
    <row r="219">
      <c r="A219" s="19" t="n">
        <v>42856</v>
      </c>
      <c r="B219" t="inlineStr">
        <is>
          <t>consoles_games</t>
        </is>
      </c>
      <c r="C219" t="n">
        <v>26</v>
      </c>
      <c r="D219" t="n">
        <v>29</v>
      </c>
      <c r="E219" t="n">
        <v>2947.24</v>
      </c>
    </row>
    <row r="220">
      <c r="A220" s="19" t="n">
        <v>42856</v>
      </c>
      <c r="B220" t="inlineStr">
        <is>
          <t>construction_tools_construction</t>
        </is>
      </c>
      <c r="C220" t="n">
        <v>1</v>
      </c>
      <c r="D220" t="n">
        <v>1</v>
      </c>
      <c r="E220" t="n">
        <v>149.4</v>
      </c>
    </row>
    <row r="221">
      <c r="A221" s="19" t="n">
        <v>42856</v>
      </c>
      <c r="B221" t="inlineStr">
        <is>
          <t>cool_stuff</t>
        </is>
      </c>
      <c r="C221" t="n">
        <v>230</v>
      </c>
      <c r="D221" t="n">
        <v>241</v>
      </c>
      <c r="E221" t="n">
        <v>37204.01</v>
      </c>
    </row>
    <row r="222">
      <c r="A222" s="19" t="n">
        <v>42856</v>
      </c>
      <c r="B222" t="inlineStr">
        <is>
          <t>costruction_tools_garden</t>
        </is>
      </c>
      <c r="C222" t="n">
        <v>5</v>
      </c>
      <c r="D222" t="n">
        <v>7</v>
      </c>
      <c r="E222" t="n">
        <v>1633.33</v>
      </c>
    </row>
    <row r="223">
      <c r="A223" s="19" t="n">
        <v>42856</v>
      </c>
      <c r="B223" t="inlineStr">
        <is>
          <t>costruction_tools_tools</t>
        </is>
      </c>
      <c r="C223" t="n">
        <v>2</v>
      </c>
      <c r="D223" t="n">
        <v>2</v>
      </c>
      <c r="E223" t="n">
        <v>834.3</v>
      </c>
    </row>
    <row r="224">
      <c r="A224" s="19" t="n">
        <v>42856</v>
      </c>
      <c r="B224" t="inlineStr">
        <is>
          <t>drinks</t>
        </is>
      </c>
      <c r="C224" t="n">
        <v>1</v>
      </c>
      <c r="D224" t="n">
        <v>1</v>
      </c>
      <c r="E224" t="n">
        <v>112.95</v>
      </c>
    </row>
    <row r="225">
      <c r="A225" s="19" t="n">
        <v>42856</v>
      </c>
      <c r="B225" t="inlineStr">
        <is>
          <t>dvds_blu_ray</t>
        </is>
      </c>
      <c r="C225" t="n">
        <v>4</v>
      </c>
      <c r="D225" t="n">
        <v>4</v>
      </c>
      <c r="E225" t="n">
        <v>150.6</v>
      </c>
    </row>
    <row r="226">
      <c r="A226" s="19" t="n">
        <v>42856</v>
      </c>
      <c r="B226" t="inlineStr">
        <is>
          <t>electronics</t>
        </is>
      </c>
      <c r="C226" t="n">
        <v>59</v>
      </c>
      <c r="D226" t="n">
        <v>65</v>
      </c>
      <c r="E226" t="n">
        <v>7288.719999999999</v>
      </c>
    </row>
    <row r="227">
      <c r="A227" s="19" t="n">
        <v>42856</v>
      </c>
      <c r="B227" t="inlineStr">
        <is>
          <t>fashio_female_clothing</t>
        </is>
      </c>
      <c r="C227" t="n">
        <v>4</v>
      </c>
      <c r="D227" t="n">
        <v>4</v>
      </c>
      <c r="E227" t="n">
        <v>415.6</v>
      </c>
    </row>
    <row r="228">
      <c r="A228" s="19" t="n">
        <v>42856</v>
      </c>
      <c r="B228" t="inlineStr">
        <is>
          <t>fashion_bags_accessories</t>
        </is>
      </c>
      <c r="C228" t="n">
        <v>91</v>
      </c>
      <c r="D228" t="n">
        <v>104</v>
      </c>
      <c r="E228" t="n">
        <v>8746.189999999999</v>
      </c>
    </row>
    <row r="229">
      <c r="A229" s="19" t="n">
        <v>42856</v>
      </c>
      <c r="B229" t="inlineStr">
        <is>
          <t>fashion_childrens_clothes</t>
        </is>
      </c>
      <c r="C229" t="n">
        <v>1</v>
      </c>
      <c r="D229" t="n">
        <v>1</v>
      </c>
      <c r="E229" t="n">
        <v>124.52</v>
      </c>
    </row>
    <row r="230">
      <c r="A230" s="19" t="n">
        <v>42856</v>
      </c>
      <c r="B230" t="inlineStr">
        <is>
          <t>fashion_male_clothing</t>
        </is>
      </c>
      <c r="C230" t="n">
        <v>3</v>
      </c>
      <c r="D230" t="n">
        <v>4</v>
      </c>
      <c r="E230" t="n">
        <v>676.21</v>
      </c>
    </row>
    <row r="231">
      <c r="A231" s="19" t="n">
        <v>42856</v>
      </c>
      <c r="B231" t="inlineStr">
        <is>
          <t>fashion_shoes</t>
        </is>
      </c>
      <c r="C231" t="n">
        <v>22</v>
      </c>
      <c r="D231" t="n">
        <v>22</v>
      </c>
      <c r="E231" t="n">
        <v>2014.89</v>
      </c>
    </row>
    <row r="232">
      <c r="A232" s="19" t="n">
        <v>42856</v>
      </c>
      <c r="B232" t="inlineStr">
        <is>
          <t>fashion_sport</t>
        </is>
      </c>
      <c r="C232" t="n">
        <v>3</v>
      </c>
      <c r="D232" t="n">
        <v>3</v>
      </c>
      <c r="E232" t="n">
        <v>179.48</v>
      </c>
    </row>
    <row r="233">
      <c r="A233" s="19" t="n">
        <v>42856</v>
      </c>
      <c r="B233" t="inlineStr">
        <is>
          <t>fashion_underwear_beach</t>
        </is>
      </c>
      <c r="C233" t="n">
        <v>6</v>
      </c>
      <c r="D233" t="n">
        <v>7</v>
      </c>
      <c r="E233" t="n">
        <v>369.26</v>
      </c>
    </row>
    <row r="234">
      <c r="A234" s="19" t="n">
        <v>42856</v>
      </c>
      <c r="B234" t="inlineStr">
        <is>
          <t>fixed_telephony</t>
        </is>
      </c>
      <c r="C234" t="n">
        <v>9</v>
      </c>
      <c r="D234" t="n">
        <v>9</v>
      </c>
      <c r="E234" t="n">
        <v>577.02</v>
      </c>
    </row>
    <row r="235">
      <c r="A235" s="19" t="n">
        <v>42856</v>
      </c>
      <c r="B235" t="inlineStr">
        <is>
          <t>food</t>
        </is>
      </c>
      <c r="C235" t="n">
        <v>3</v>
      </c>
      <c r="D235" t="n">
        <v>3</v>
      </c>
      <c r="E235" t="n">
        <v>452.25</v>
      </c>
    </row>
    <row r="236">
      <c r="A236" s="19" t="n">
        <v>42856</v>
      </c>
      <c r="B236" t="inlineStr">
        <is>
          <t>food_drink</t>
        </is>
      </c>
      <c r="C236" t="n">
        <v>10</v>
      </c>
      <c r="D236" t="n">
        <v>12</v>
      </c>
      <c r="E236" t="n">
        <v>497.6899999999999</v>
      </c>
    </row>
    <row r="237">
      <c r="A237" s="19" t="n">
        <v>42856</v>
      </c>
      <c r="B237" t="inlineStr">
        <is>
          <t>furniture_bedroom</t>
        </is>
      </c>
      <c r="C237" t="n">
        <v>6</v>
      </c>
      <c r="D237" t="n">
        <v>9</v>
      </c>
      <c r="E237" t="n">
        <v>2658.95</v>
      </c>
    </row>
    <row r="238">
      <c r="A238" s="19" t="n">
        <v>42856</v>
      </c>
      <c r="B238" t="inlineStr">
        <is>
          <t>furniture_decor</t>
        </is>
      </c>
      <c r="C238" t="n">
        <v>226</v>
      </c>
      <c r="D238" t="n">
        <v>271</v>
      </c>
      <c r="E238" t="n">
        <v>28077.96</v>
      </c>
    </row>
    <row r="239">
      <c r="A239" s="19" t="n">
        <v>42856</v>
      </c>
      <c r="B239" t="inlineStr">
        <is>
          <t>furniture_living_room</t>
        </is>
      </c>
      <c r="C239" t="n">
        <v>27</v>
      </c>
      <c r="D239" t="n">
        <v>32</v>
      </c>
      <c r="E239" t="n">
        <v>5715.65</v>
      </c>
    </row>
    <row r="240">
      <c r="A240" s="19" t="n">
        <v>42856</v>
      </c>
      <c r="B240" t="inlineStr">
        <is>
          <t>furniture_mattress_and_upholstery</t>
        </is>
      </c>
      <c r="C240" t="n">
        <v>3</v>
      </c>
      <c r="D240" t="n">
        <v>3</v>
      </c>
      <c r="E240" t="n">
        <v>731.88</v>
      </c>
    </row>
    <row r="241">
      <c r="A241" s="19" t="n">
        <v>42856</v>
      </c>
      <c r="B241" t="inlineStr">
        <is>
          <t>garden_tools</t>
        </is>
      </c>
      <c r="C241" t="n">
        <v>121</v>
      </c>
      <c r="D241" t="n">
        <v>138</v>
      </c>
      <c r="E241" t="n">
        <v>23697</v>
      </c>
    </row>
    <row r="242">
      <c r="A242" s="19" t="n">
        <v>42856</v>
      </c>
      <c r="B242" t="inlineStr">
        <is>
          <t>health_beauty</t>
        </is>
      </c>
      <c r="C242" t="n">
        <v>261</v>
      </c>
      <c r="D242" t="n">
        <v>284</v>
      </c>
      <c r="E242" t="n">
        <v>52254.72</v>
      </c>
    </row>
    <row r="243">
      <c r="A243" s="19" t="n">
        <v>42856</v>
      </c>
      <c r="B243" t="inlineStr">
        <is>
          <t>home_appliances</t>
        </is>
      </c>
      <c r="C243" t="n">
        <v>28</v>
      </c>
      <c r="D243" t="n">
        <v>28</v>
      </c>
      <c r="E243" t="n">
        <v>2371.03</v>
      </c>
    </row>
    <row r="244">
      <c r="A244" s="19" t="n">
        <v>42856</v>
      </c>
      <c r="B244" t="inlineStr">
        <is>
          <t>home_appliances_2</t>
        </is>
      </c>
      <c r="C244" t="n">
        <v>7</v>
      </c>
      <c r="D244" t="n">
        <v>7</v>
      </c>
      <c r="E244" t="n">
        <v>1587.47</v>
      </c>
    </row>
    <row r="245">
      <c r="A245" s="19" t="n">
        <v>42856</v>
      </c>
      <c r="B245" t="inlineStr">
        <is>
          <t>home_confort</t>
        </is>
      </c>
      <c r="C245" t="n">
        <v>32</v>
      </c>
      <c r="D245" t="n">
        <v>35</v>
      </c>
      <c r="E245" t="n">
        <v>5684.610000000001</v>
      </c>
    </row>
    <row r="246">
      <c r="A246" s="19" t="n">
        <v>42856</v>
      </c>
      <c r="B246" t="inlineStr">
        <is>
          <t>home_construction</t>
        </is>
      </c>
      <c r="C246" t="n">
        <v>5</v>
      </c>
      <c r="D246" t="n">
        <v>7</v>
      </c>
      <c r="E246" t="n">
        <v>1731.6</v>
      </c>
    </row>
    <row r="247">
      <c r="A247" s="19" t="n">
        <v>42856</v>
      </c>
      <c r="B247" t="inlineStr">
        <is>
          <t>housewares</t>
        </is>
      </c>
      <c r="C247" t="n">
        <v>259</v>
      </c>
      <c r="D247" t="n">
        <v>302</v>
      </c>
      <c r="E247" t="n">
        <v>26606.29</v>
      </c>
    </row>
    <row r="248">
      <c r="A248" s="19" t="n">
        <v>42856</v>
      </c>
      <c r="B248" t="inlineStr">
        <is>
          <t>industry_commerce_and_business</t>
        </is>
      </c>
      <c r="C248" t="n">
        <v>2</v>
      </c>
      <c r="D248" t="n">
        <v>2</v>
      </c>
      <c r="E248" t="n">
        <v>552.22</v>
      </c>
    </row>
    <row r="249">
      <c r="A249" s="19" t="n">
        <v>42856</v>
      </c>
      <c r="B249" t="inlineStr">
        <is>
          <t>kitchen_dining_laundry_garden_furniture</t>
        </is>
      </c>
      <c r="C249" t="n">
        <v>9</v>
      </c>
      <c r="D249" t="n">
        <v>9</v>
      </c>
      <c r="E249" t="n">
        <v>1637.21</v>
      </c>
    </row>
    <row r="250">
      <c r="A250" s="19" t="n">
        <v>42856</v>
      </c>
      <c r="B250" t="inlineStr">
        <is>
          <t>la_cuisine</t>
        </is>
      </c>
      <c r="C250" t="n">
        <v>1</v>
      </c>
      <c r="D250" t="n">
        <v>1</v>
      </c>
      <c r="E250" t="n">
        <v>232.19</v>
      </c>
    </row>
    <row r="251">
      <c r="A251" s="19" t="n">
        <v>42856</v>
      </c>
      <c r="B251" t="inlineStr">
        <is>
          <t>luggage_accessories</t>
        </is>
      </c>
      <c r="C251" t="n">
        <v>64</v>
      </c>
      <c r="D251" t="n">
        <v>70</v>
      </c>
      <c r="E251" t="n">
        <v>14860.09</v>
      </c>
    </row>
    <row r="252">
      <c r="A252" s="19" t="n">
        <v>42856</v>
      </c>
      <c r="B252" t="inlineStr">
        <is>
          <t>market_place</t>
        </is>
      </c>
      <c r="C252" t="n">
        <v>21</v>
      </c>
      <c r="D252" t="n">
        <v>22</v>
      </c>
      <c r="E252" t="n">
        <v>2859.28</v>
      </c>
    </row>
    <row r="253">
      <c r="A253" s="19" t="n">
        <v>42856</v>
      </c>
      <c r="B253" t="inlineStr">
        <is>
          <t>musical_instruments</t>
        </is>
      </c>
      <c r="C253" t="n">
        <v>18</v>
      </c>
      <c r="D253" t="n">
        <v>20</v>
      </c>
      <c r="E253" t="n">
        <v>10102.98</v>
      </c>
    </row>
    <row r="254">
      <c r="A254" s="19" t="n">
        <v>42856</v>
      </c>
      <c r="B254" t="inlineStr">
        <is>
          <t>office_furniture</t>
        </is>
      </c>
      <c r="C254" t="n">
        <v>42</v>
      </c>
      <c r="D254" t="n">
        <v>56</v>
      </c>
      <c r="E254" t="n">
        <v>10019.71</v>
      </c>
    </row>
    <row r="255">
      <c r="A255" s="19" t="n">
        <v>42856</v>
      </c>
      <c r="B255" t="inlineStr">
        <is>
          <t>pc_gamer</t>
        </is>
      </c>
      <c r="C255" t="n">
        <v>1</v>
      </c>
      <c r="D255" t="n">
        <v>1</v>
      </c>
      <c r="E255" t="n">
        <v>138.15</v>
      </c>
    </row>
    <row r="256">
      <c r="A256" s="19" t="n">
        <v>42856</v>
      </c>
      <c r="B256" t="inlineStr">
        <is>
          <t>perfumery</t>
        </is>
      </c>
      <c r="C256" t="n">
        <v>132</v>
      </c>
      <c r="D256" t="n">
        <v>143</v>
      </c>
      <c r="E256" t="n">
        <v>22237.26</v>
      </c>
    </row>
    <row r="257">
      <c r="A257" s="19" t="n">
        <v>42856</v>
      </c>
      <c r="B257" t="inlineStr">
        <is>
          <t>pet_shop</t>
        </is>
      </c>
      <c r="C257" t="n">
        <v>66</v>
      </c>
      <c r="D257" t="n">
        <v>73</v>
      </c>
      <c r="E257" t="n">
        <v>9646.52</v>
      </c>
    </row>
    <row r="258">
      <c r="A258" s="19" t="n">
        <v>42856</v>
      </c>
      <c r="B258" t="inlineStr">
        <is>
          <t>signaling_and_security</t>
        </is>
      </c>
      <c r="C258" t="n">
        <v>3</v>
      </c>
      <c r="D258" t="n">
        <v>4</v>
      </c>
      <c r="E258" t="n">
        <v>775.9400000000001</v>
      </c>
    </row>
    <row r="259">
      <c r="A259" s="19" t="n">
        <v>42856</v>
      </c>
      <c r="B259" t="inlineStr">
        <is>
          <t>small_appliances</t>
        </is>
      </c>
      <c r="C259" t="n">
        <v>16</v>
      </c>
      <c r="D259" t="n">
        <v>18</v>
      </c>
      <c r="E259" t="n">
        <v>5727.349999999999</v>
      </c>
    </row>
    <row r="260">
      <c r="A260" s="19" t="n">
        <v>42856</v>
      </c>
      <c r="B260" t="inlineStr">
        <is>
          <t>sports_leisure</t>
        </is>
      </c>
      <c r="C260" t="n">
        <v>256</v>
      </c>
      <c r="D260" t="n">
        <v>305</v>
      </c>
      <c r="E260" t="n">
        <v>39947.95</v>
      </c>
    </row>
    <row r="261">
      <c r="A261" s="19" t="n">
        <v>42856</v>
      </c>
      <c r="B261" t="inlineStr">
        <is>
          <t>stationery</t>
        </is>
      </c>
      <c r="C261" t="n">
        <v>60</v>
      </c>
      <c r="D261" t="n">
        <v>64</v>
      </c>
      <c r="E261" t="n">
        <v>6664.059999999999</v>
      </c>
    </row>
    <row r="262">
      <c r="A262" s="19" t="n">
        <v>42856</v>
      </c>
      <c r="B262" t="inlineStr">
        <is>
          <t>tablets_printing_image</t>
        </is>
      </c>
      <c r="C262" t="n">
        <v>7</v>
      </c>
      <c r="D262" t="n">
        <v>7</v>
      </c>
      <c r="E262" t="n">
        <v>1607.02</v>
      </c>
    </row>
    <row r="263">
      <c r="A263" s="19" t="n">
        <v>42856</v>
      </c>
      <c r="B263" t="inlineStr">
        <is>
          <t>telephony</t>
        </is>
      </c>
      <c r="C263" t="n">
        <v>196</v>
      </c>
      <c r="D263" t="n">
        <v>214</v>
      </c>
      <c r="E263" t="n">
        <v>12068.53</v>
      </c>
    </row>
    <row r="264">
      <c r="A264" s="19" t="n">
        <v>42856</v>
      </c>
      <c r="B264" t="inlineStr">
        <is>
          <t>toys</t>
        </is>
      </c>
      <c r="C264" t="n">
        <v>192</v>
      </c>
      <c r="D264" t="n">
        <v>196</v>
      </c>
      <c r="E264" t="n">
        <v>25588.89</v>
      </c>
    </row>
    <row r="265">
      <c r="A265" s="19" t="n">
        <v>42856</v>
      </c>
      <c r="B265" t="inlineStr">
        <is>
          <t>unknown</t>
        </is>
      </c>
      <c r="C265" t="n">
        <v>82</v>
      </c>
      <c r="D265" t="n">
        <v>91</v>
      </c>
      <c r="E265" t="n">
        <v>12505.22</v>
      </c>
    </row>
    <row r="266">
      <c r="A266" s="19" t="n">
        <v>42856</v>
      </c>
      <c r="B266" t="inlineStr">
        <is>
          <t>watches_gifts</t>
        </is>
      </c>
      <c r="C266" t="n">
        <v>120</v>
      </c>
      <c r="D266" t="n">
        <v>129</v>
      </c>
      <c r="E266" t="n">
        <v>38924.38</v>
      </c>
    </row>
    <row r="267">
      <c r="A267" s="19" t="n">
        <v>42887</v>
      </c>
      <c r="B267" t="inlineStr">
        <is>
          <t>agro_industry_and_commerce</t>
        </is>
      </c>
      <c r="C267" t="n">
        <v>1</v>
      </c>
      <c r="D267" t="n">
        <v>1</v>
      </c>
      <c r="E267" t="n">
        <v>1422.05</v>
      </c>
    </row>
    <row r="268">
      <c r="A268" s="19" t="n">
        <v>42887</v>
      </c>
      <c r="B268" t="inlineStr">
        <is>
          <t>air_conditioning</t>
        </is>
      </c>
      <c r="C268" t="n">
        <v>9</v>
      </c>
      <c r="D268" t="n">
        <v>11</v>
      </c>
      <c r="E268" t="n">
        <v>2288.52</v>
      </c>
    </row>
    <row r="269">
      <c r="A269" s="19" t="n">
        <v>42887</v>
      </c>
      <c r="B269" t="inlineStr">
        <is>
          <t>art</t>
        </is>
      </c>
      <c r="C269" t="n">
        <v>4</v>
      </c>
      <c r="D269" t="n">
        <v>4</v>
      </c>
      <c r="E269" t="n">
        <v>285.35</v>
      </c>
    </row>
    <row r="270">
      <c r="A270" s="19" t="n">
        <v>42887</v>
      </c>
      <c r="B270" t="inlineStr">
        <is>
          <t>audio</t>
        </is>
      </c>
      <c r="C270" t="n">
        <v>11</v>
      </c>
      <c r="D270" t="n">
        <v>11</v>
      </c>
      <c r="E270" t="n">
        <v>1818.24</v>
      </c>
    </row>
    <row r="271">
      <c r="A271" s="19" t="n">
        <v>42887</v>
      </c>
      <c r="B271" t="inlineStr">
        <is>
          <t>auto</t>
        </is>
      </c>
      <c r="C271" t="n">
        <v>101</v>
      </c>
      <c r="D271" t="n">
        <v>110</v>
      </c>
      <c r="E271" t="n">
        <v>31615.42</v>
      </c>
    </row>
    <row r="272">
      <c r="A272" s="19" t="n">
        <v>42887</v>
      </c>
      <c r="B272" t="inlineStr">
        <is>
          <t>baby</t>
        </is>
      </c>
      <c r="C272" t="n">
        <v>72</v>
      </c>
      <c r="D272" t="n">
        <v>78</v>
      </c>
      <c r="E272" t="n">
        <v>9258.050000000001</v>
      </c>
    </row>
    <row r="273">
      <c r="A273" s="19" t="n">
        <v>42887</v>
      </c>
      <c r="B273" t="inlineStr">
        <is>
          <t>bed_bath_table</t>
        </is>
      </c>
      <c r="C273" t="n">
        <v>324</v>
      </c>
      <c r="D273" t="n">
        <v>369</v>
      </c>
      <c r="E273" t="n">
        <v>40132.47</v>
      </c>
    </row>
    <row r="274">
      <c r="A274" s="19" t="n">
        <v>42887</v>
      </c>
      <c r="B274" t="inlineStr">
        <is>
          <t>books_general_interest</t>
        </is>
      </c>
      <c r="C274" t="n">
        <v>19</v>
      </c>
      <c r="D274" t="n">
        <v>20</v>
      </c>
      <c r="E274" t="n">
        <v>2305.34</v>
      </c>
    </row>
    <row r="275">
      <c r="A275" s="19" t="n">
        <v>42887</v>
      </c>
      <c r="B275" t="inlineStr">
        <is>
          <t>books_imported</t>
        </is>
      </c>
      <c r="C275" t="n">
        <v>1</v>
      </c>
      <c r="D275" t="n">
        <v>2</v>
      </c>
      <c r="E275" t="n">
        <v>129.2</v>
      </c>
    </row>
    <row r="276">
      <c r="A276" s="19" t="n">
        <v>42887</v>
      </c>
      <c r="B276" t="inlineStr">
        <is>
          <t>books_technical</t>
        </is>
      </c>
      <c r="C276" t="n">
        <v>2</v>
      </c>
      <c r="D276" t="n">
        <v>2</v>
      </c>
      <c r="E276" t="n">
        <v>188.53</v>
      </c>
    </row>
    <row r="277">
      <c r="A277" s="19" t="n">
        <v>42887</v>
      </c>
      <c r="B277" t="inlineStr">
        <is>
          <t>christmas_supplies</t>
        </is>
      </c>
      <c r="C277" t="n">
        <v>2</v>
      </c>
      <c r="D277" t="n">
        <v>3</v>
      </c>
      <c r="E277" t="n">
        <v>246.25</v>
      </c>
    </row>
    <row r="278">
      <c r="A278" s="19" t="n">
        <v>42887</v>
      </c>
      <c r="B278" t="inlineStr">
        <is>
          <t>cine_photo</t>
        </is>
      </c>
      <c r="C278" t="n">
        <v>1</v>
      </c>
      <c r="D278" t="n">
        <v>1</v>
      </c>
      <c r="E278" t="n">
        <v>112.91</v>
      </c>
    </row>
    <row r="279">
      <c r="A279" s="19" t="n">
        <v>42887</v>
      </c>
      <c r="B279" t="inlineStr">
        <is>
          <t>computers_accessories</t>
        </is>
      </c>
      <c r="C279" t="n">
        <v>212</v>
      </c>
      <c r="D279" t="n">
        <v>254</v>
      </c>
      <c r="E279" t="n">
        <v>40687.6</v>
      </c>
    </row>
    <row r="280">
      <c r="A280" s="19" t="n">
        <v>42887</v>
      </c>
      <c r="B280" t="inlineStr">
        <is>
          <t>consoles_games</t>
        </is>
      </c>
      <c r="C280" t="n">
        <v>26</v>
      </c>
      <c r="D280" t="n">
        <v>29</v>
      </c>
      <c r="E280" t="n">
        <v>5859.32</v>
      </c>
    </row>
    <row r="281">
      <c r="A281" s="19" t="n">
        <v>42887</v>
      </c>
      <c r="B281" t="inlineStr">
        <is>
          <t>construction_tools_construction</t>
        </is>
      </c>
      <c r="C281" t="n">
        <v>4</v>
      </c>
      <c r="D281" t="n">
        <v>8</v>
      </c>
      <c r="E281" t="n">
        <v>475.31</v>
      </c>
    </row>
    <row r="282">
      <c r="A282" s="19" t="n">
        <v>42887</v>
      </c>
      <c r="B282" t="inlineStr">
        <is>
          <t>cool_stuff</t>
        </is>
      </c>
      <c r="C282" t="n">
        <v>195</v>
      </c>
      <c r="D282" t="n">
        <v>199</v>
      </c>
      <c r="E282" t="n">
        <v>42539.56</v>
      </c>
    </row>
    <row r="283">
      <c r="A283" s="19" t="n">
        <v>42887</v>
      </c>
      <c r="B283" t="inlineStr">
        <is>
          <t>costruction_tools_garden</t>
        </is>
      </c>
      <c r="C283" t="n">
        <v>3</v>
      </c>
      <c r="D283" t="n">
        <v>4</v>
      </c>
      <c r="E283" t="n">
        <v>500.4</v>
      </c>
    </row>
    <row r="284">
      <c r="A284" s="19" t="n">
        <v>42887</v>
      </c>
      <c r="B284" t="inlineStr">
        <is>
          <t>drinks</t>
        </is>
      </c>
      <c r="C284" t="n">
        <v>1</v>
      </c>
      <c r="D284" t="n">
        <v>1</v>
      </c>
      <c r="E284" t="n">
        <v>69.2</v>
      </c>
    </row>
    <row r="285">
      <c r="A285" s="19" t="n">
        <v>42887</v>
      </c>
      <c r="B285" t="inlineStr">
        <is>
          <t>dvds_blu_ray</t>
        </is>
      </c>
      <c r="C285" t="n">
        <v>4</v>
      </c>
      <c r="D285" t="n">
        <v>4</v>
      </c>
      <c r="E285" t="n">
        <v>199.74</v>
      </c>
    </row>
    <row r="286">
      <c r="A286" s="19" t="n">
        <v>42887</v>
      </c>
      <c r="B286" t="inlineStr">
        <is>
          <t>electronics</t>
        </is>
      </c>
      <c r="C286" t="n">
        <v>39</v>
      </c>
      <c r="D286" t="n">
        <v>41</v>
      </c>
      <c r="E286" t="n">
        <v>2675.7</v>
      </c>
    </row>
    <row r="287">
      <c r="A287" s="19" t="n">
        <v>42887</v>
      </c>
      <c r="B287" t="inlineStr">
        <is>
          <t>fashio_female_clothing</t>
        </is>
      </c>
      <c r="C287" t="n">
        <v>3</v>
      </c>
      <c r="D287" t="n">
        <v>3</v>
      </c>
      <c r="E287" t="n">
        <v>199.3</v>
      </c>
    </row>
    <row r="288">
      <c r="A288" s="19" t="n">
        <v>42887</v>
      </c>
      <c r="B288" t="inlineStr">
        <is>
          <t>fashion_bags_accessories</t>
        </is>
      </c>
      <c r="C288" t="n">
        <v>75</v>
      </c>
      <c r="D288" t="n">
        <v>81</v>
      </c>
      <c r="E288" t="n">
        <v>7989.4</v>
      </c>
    </row>
    <row r="289">
      <c r="A289" s="19" t="n">
        <v>42887</v>
      </c>
      <c r="B289" t="inlineStr">
        <is>
          <t>fashion_childrens_clothes</t>
        </is>
      </c>
      <c r="C289" t="n">
        <v>1</v>
      </c>
      <c r="D289" t="n">
        <v>1</v>
      </c>
      <c r="E289" t="n">
        <v>118.96</v>
      </c>
    </row>
    <row r="290">
      <c r="A290" s="19" t="n">
        <v>42887</v>
      </c>
      <c r="B290" t="inlineStr">
        <is>
          <t>fashion_male_clothing</t>
        </is>
      </c>
      <c r="C290" t="n">
        <v>7</v>
      </c>
      <c r="D290" t="n">
        <v>9</v>
      </c>
      <c r="E290" t="n">
        <v>689.8199999999999</v>
      </c>
    </row>
    <row r="291">
      <c r="A291" s="19" t="n">
        <v>42887</v>
      </c>
      <c r="B291" t="inlineStr">
        <is>
          <t>fashion_shoes</t>
        </is>
      </c>
      <c r="C291" t="n">
        <v>16</v>
      </c>
      <c r="D291" t="n">
        <v>19</v>
      </c>
      <c r="E291" t="n">
        <v>1635.15</v>
      </c>
    </row>
    <row r="292">
      <c r="A292" s="19" t="n">
        <v>42887</v>
      </c>
      <c r="B292" t="inlineStr">
        <is>
          <t>fashion_sport</t>
        </is>
      </c>
      <c r="C292" t="n">
        <v>5</v>
      </c>
      <c r="D292" t="n">
        <v>5</v>
      </c>
      <c r="E292" t="n">
        <v>567.4</v>
      </c>
    </row>
    <row r="293">
      <c r="A293" s="19" t="n">
        <v>42887</v>
      </c>
      <c r="B293" t="inlineStr">
        <is>
          <t>fashion_underwear_beach</t>
        </is>
      </c>
      <c r="C293" t="n">
        <v>1</v>
      </c>
      <c r="D293" t="n">
        <v>1</v>
      </c>
      <c r="E293" t="n">
        <v>19</v>
      </c>
    </row>
    <row r="294">
      <c r="A294" s="19" t="n">
        <v>42887</v>
      </c>
      <c r="B294" t="inlineStr">
        <is>
          <t>fixed_telephony</t>
        </is>
      </c>
      <c r="C294" t="n">
        <v>12</v>
      </c>
      <c r="D294" t="n">
        <v>12</v>
      </c>
      <c r="E294" t="n">
        <v>1141.43</v>
      </c>
    </row>
    <row r="295">
      <c r="A295" s="19" t="n">
        <v>42887</v>
      </c>
      <c r="B295" t="inlineStr">
        <is>
          <t>food</t>
        </is>
      </c>
      <c r="C295" t="n">
        <v>1</v>
      </c>
      <c r="D295" t="n">
        <v>1</v>
      </c>
      <c r="E295" t="n">
        <v>171.79</v>
      </c>
    </row>
    <row r="296">
      <c r="A296" s="19" t="n">
        <v>42887</v>
      </c>
      <c r="B296" t="inlineStr">
        <is>
          <t>food_drink</t>
        </is>
      </c>
      <c r="C296" t="n">
        <v>2</v>
      </c>
      <c r="D296" t="n">
        <v>2</v>
      </c>
      <c r="E296" t="n">
        <v>82.78</v>
      </c>
    </row>
    <row r="297">
      <c r="A297" s="19" t="n">
        <v>42887</v>
      </c>
      <c r="B297" t="inlineStr">
        <is>
          <t>furniture_bedroom</t>
        </is>
      </c>
      <c r="C297" t="n">
        <v>2</v>
      </c>
      <c r="D297" t="n">
        <v>2</v>
      </c>
      <c r="E297" t="n">
        <v>351.68</v>
      </c>
    </row>
    <row r="298">
      <c r="A298" s="19" t="n">
        <v>42887</v>
      </c>
      <c r="B298" t="inlineStr">
        <is>
          <t>furniture_decor</t>
        </is>
      </c>
      <c r="C298" t="n">
        <v>177</v>
      </c>
      <c r="D298" t="n">
        <v>230</v>
      </c>
      <c r="E298" t="n">
        <v>21573.5</v>
      </c>
    </row>
    <row r="299">
      <c r="A299" s="19" t="n">
        <v>42887</v>
      </c>
      <c r="B299" t="inlineStr">
        <is>
          <t>furniture_living_room</t>
        </is>
      </c>
      <c r="C299" t="n">
        <v>12</v>
      </c>
      <c r="D299" t="n">
        <v>15</v>
      </c>
      <c r="E299" t="n">
        <v>2242.91</v>
      </c>
    </row>
    <row r="300">
      <c r="A300" s="19" t="n">
        <v>42887</v>
      </c>
      <c r="B300" t="inlineStr">
        <is>
          <t>garden_tools</t>
        </is>
      </c>
      <c r="C300" t="n">
        <v>98</v>
      </c>
      <c r="D300" t="n">
        <v>110</v>
      </c>
      <c r="E300" t="n">
        <v>18094.79</v>
      </c>
    </row>
    <row r="301">
      <c r="A301" s="19" t="n">
        <v>42887</v>
      </c>
      <c r="B301" t="inlineStr">
        <is>
          <t>health_beauty</t>
        </is>
      </c>
      <c r="C301" t="n">
        <v>233</v>
      </c>
      <c r="D301" t="n">
        <v>254</v>
      </c>
      <c r="E301" t="n">
        <v>36844.86</v>
      </c>
    </row>
    <row r="302">
      <c r="A302" s="19" t="n">
        <v>42887</v>
      </c>
      <c r="B302" t="inlineStr">
        <is>
          <t>home_appliances</t>
        </is>
      </c>
      <c r="C302" t="n">
        <v>42</v>
      </c>
      <c r="D302" t="n">
        <v>43</v>
      </c>
      <c r="E302" t="n">
        <v>3143.6</v>
      </c>
    </row>
    <row r="303">
      <c r="A303" s="19" t="n">
        <v>42887</v>
      </c>
      <c r="B303" t="inlineStr">
        <is>
          <t>home_appliances_2</t>
        </is>
      </c>
      <c r="C303" t="n">
        <v>6</v>
      </c>
      <c r="D303" t="n">
        <v>6</v>
      </c>
      <c r="E303" t="n">
        <v>1435.07</v>
      </c>
    </row>
    <row r="304">
      <c r="A304" s="19" t="n">
        <v>42887</v>
      </c>
      <c r="B304" t="inlineStr">
        <is>
          <t>home_comfort_2</t>
        </is>
      </c>
      <c r="C304" t="n">
        <v>1</v>
      </c>
      <c r="D304" t="n">
        <v>1</v>
      </c>
      <c r="E304" t="n">
        <v>28</v>
      </c>
    </row>
    <row r="305">
      <c r="A305" s="19" t="n">
        <v>42887</v>
      </c>
      <c r="B305" t="inlineStr">
        <is>
          <t>home_confort</t>
        </is>
      </c>
      <c r="C305" t="n">
        <v>17</v>
      </c>
      <c r="D305" t="n">
        <v>17</v>
      </c>
      <c r="E305" t="n">
        <v>3100.02</v>
      </c>
    </row>
    <row r="306">
      <c r="A306" s="19" t="n">
        <v>42887</v>
      </c>
      <c r="B306" t="inlineStr">
        <is>
          <t>home_construction</t>
        </is>
      </c>
      <c r="C306" t="n">
        <v>4</v>
      </c>
      <c r="D306" t="n">
        <v>8</v>
      </c>
      <c r="E306" t="n">
        <v>2141.18</v>
      </c>
    </row>
    <row r="307">
      <c r="A307" s="19" t="n">
        <v>42887</v>
      </c>
      <c r="B307" t="inlineStr">
        <is>
          <t>housewares</t>
        </is>
      </c>
      <c r="C307" t="n">
        <v>280</v>
      </c>
      <c r="D307" t="n">
        <v>321</v>
      </c>
      <c r="E307" t="n">
        <v>29048.93</v>
      </c>
    </row>
    <row r="308">
      <c r="A308" s="19" t="n">
        <v>42887</v>
      </c>
      <c r="B308" t="inlineStr">
        <is>
          <t>industry_commerce_and_business</t>
        </is>
      </c>
      <c r="C308" t="n">
        <v>2</v>
      </c>
      <c r="D308" t="n">
        <v>2</v>
      </c>
      <c r="E308" t="n">
        <v>342.17</v>
      </c>
    </row>
    <row r="309">
      <c r="A309" s="19" t="n">
        <v>42887</v>
      </c>
      <c r="B309" t="inlineStr">
        <is>
          <t>kitchen_dining_laundry_garden_furniture</t>
        </is>
      </c>
      <c r="C309" t="n">
        <v>4</v>
      </c>
      <c r="D309" t="n">
        <v>4</v>
      </c>
      <c r="E309" t="n">
        <v>542.5899999999999</v>
      </c>
    </row>
    <row r="310">
      <c r="A310" s="19" t="n">
        <v>42887</v>
      </c>
      <c r="B310" t="inlineStr">
        <is>
          <t>luggage_accessories</t>
        </is>
      </c>
      <c r="C310" t="n">
        <v>59</v>
      </c>
      <c r="D310" t="n">
        <v>60</v>
      </c>
      <c r="E310" t="n">
        <v>10169.35</v>
      </c>
    </row>
    <row r="311">
      <c r="A311" s="19" t="n">
        <v>42887</v>
      </c>
      <c r="B311" t="inlineStr">
        <is>
          <t>market_place</t>
        </is>
      </c>
      <c r="C311" t="n">
        <v>15</v>
      </c>
      <c r="D311" t="n">
        <v>16</v>
      </c>
      <c r="E311" t="n">
        <v>1491.86</v>
      </c>
    </row>
    <row r="312">
      <c r="A312" s="19" t="n">
        <v>42887</v>
      </c>
      <c r="B312" t="inlineStr">
        <is>
          <t>music</t>
        </is>
      </c>
      <c r="C312" t="n">
        <v>4</v>
      </c>
      <c r="D312" t="n">
        <v>4</v>
      </c>
      <c r="E312" t="n">
        <v>1141.12</v>
      </c>
    </row>
    <row r="313">
      <c r="A313" s="19" t="n">
        <v>42887</v>
      </c>
      <c r="B313" t="inlineStr">
        <is>
          <t>musical_instruments</t>
        </is>
      </c>
      <c r="C313" t="n">
        <v>17</v>
      </c>
      <c r="D313" t="n">
        <v>20</v>
      </c>
      <c r="E313" t="n">
        <v>5515.32</v>
      </c>
    </row>
    <row r="314">
      <c r="A314" s="19" t="n">
        <v>42887</v>
      </c>
      <c r="B314" t="inlineStr">
        <is>
          <t>office_furniture</t>
        </is>
      </c>
      <c r="C314" t="n">
        <v>45</v>
      </c>
      <c r="D314" t="n">
        <v>50</v>
      </c>
      <c r="E314" t="n">
        <v>9095.799999999999</v>
      </c>
    </row>
    <row r="315">
      <c r="A315" s="19" t="n">
        <v>42887</v>
      </c>
      <c r="B315" t="inlineStr">
        <is>
          <t>pc_gamer</t>
        </is>
      </c>
      <c r="C315" t="n">
        <v>1</v>
      </c>
      <c r="D315" t="n">
        <v>1</v>
      </c>
      <c r="E315" t="n">
        <v>156.18</v>
      </c>
    </row>
    <row r="316">
      <c r="A316" s="19" t="n">
        <v>42887</v>
      </c>
      <c r="B316" t="inlineStr">
        <is>
          <t>perfumery</t>
        </is>
      </c>
      <c r="C316" t="n">
        <v>140</v>
      </c>
      <c r="D316" t="n">
        <v>148</v>
      </c>
      <c r="E316" t="n">
        <v>26352.57</v>
      </c>
    </row>
    <row r="317">
      <c r="A317" s="19" t="n">
        <v>42887</v>
      </c>
      <c r="B317" t="inlineStr">
        <is>
          <t>pet_shop</t>
        </is>
      </c>
      <c r="C317" t="n">
        <v>60</v>
      </c>
      <c r="D317" t="n">
        <v>63</v>
      </c>
      <c r="E317" t="n">
        <v>6308.43</v>
      </c>
    </row>
    <row r="318">
      <c r="A318" s="19" t="n">
        <v>42887</v>
      </c>
      <c r="B318" t="inlineStr">
        <is>
          <t>signaling_and_security</t>
        </is>
      </c>
      <c r="C318" t="n">
        <v>1</v>
      </c>
      <c r="D318" t="n">
        <v>1</v>
      </c>
      <c r="E318" t="n">
        <v>186.95</v>
      </c>
    </row>
    <row r="319">
      <c r="A319" s="19" t="n">
        <v>42887</v>
      </c>
      <c r="B319" t="inlineStr">
        <is>
          <t>small_appliances</t>
        </is>
      </c>
      <c r="C319" t="n">
        <v>23</v>
      </c>
      <c r="D319" t="n">
        <v>23</v>
      </c>
      <c r="E319" t="n">
        <v>10342.28</v>
      </c>
    </row>
    <row r="320">
      <c r="A320" s="19" t="n">
        <v>42887</v>
      </c>
      <c r="B320" t="inlineStr">
        <is>
          <t>small_appliances_home_oven_and_coffee</t>
        </is>
      </c>
      <c r="C320" t="n">
        <v>1</v>
      </c>
      <c r="D320" t="n">
        <v>1</v>
      </c>
      <c r="E320" t="n">
        <v>88.65000000000001</v>
      </c>
    </row>
    <row r="321">
      <c r="A321" s="19" t="n">
        <v>42887</v>
      </c>
      <c r="B321" t="inlineStr">
        <is>
          <t>sports_leisure</t>
        </is>
      </c>
      <c r="C321" t="n">
        <v>245</v>
      </c>
      <c r="D321" t="n">
        <v>269</v>
      </c>
      <c r="E321" t="n">
        <v>38027.74</v>
      </c>
    </row>
    <row r="322">
      <c r="A322" s="19" t="n">
        <v>42887</v>
      </c>
      <c r="B322" t="inlineStr">
        <is>
          <t>stationery</t>
        </is>
      </c>
      <c r="C322" t="n">
        <v>37</v>
      </c>
      <c r="D322" t="n">
        <v>38</v>
      </c>
      <c r="E322" t="n">
        <v>4176.05</v>
      </c>
    </row>
    <row r="323">
      <c r="A323" s="19" t="n">
        <v>42887</v>
      </c>
      <c r="B323" t="inlineStr">
        <is>
          <t>tablets_printing_image</t>
        </is>
      </c>
      <c r="C323" t="n">
        <v>6</v>
      </c>
      <c r="D323" t="n">
        <v>6</v>
      </c>
      <c r="E323" t="n">
        <v>679.17</v>
      </c>
    </row>
    <row r="324">
      <c r="A324" s="19" t="n">
        <v>42887</v>
      </c>
      <c r="B324" t="inlineStr">
        <is>
          <t>telephony</t>
        </is>
      </c>
      <c r="C324" t="n">
        <v>148</v>
      </c>
      <c r="D324" t="n">
        <v>157</v>
      </c>
      <c r="E324" t="n">
        <v>8933.27</v>
      </c>
    </row>
    <row r="325">
      <c r="A325" s="19" t="n">
        <v>42887</v>
      </c>
      <c r="B325" t="inlineStr">
        <is>
          <t>toys</t>
        </is>
      </c>
      <c r="C325" t="n">
        <v>150</v>
      </c>
      <c r="D325" t="n">
        <v>156</v>
      </c>
      <c r="E325" t="n">
        <v>18051.3</v>
      </c>
    </row>
    <row r="326">
      <c r="A326" s="19" t="n">
        <v>42887</v>
      </c>
      <c r="B326" t="inlineStr">
        <is>
          <t>unknown</t>
        </is>
      </c>
      <c r="C326" t="n">
        <v>50</v>
      </c>
      <c r="D326" t="n">
        <v>58</v>
      </c>
      <c r="E326" t="n">
        <v>5799.13</v>
      </c>
    </row>
    <row r="327">
      <c r="A327" s="19" t="n">
        <v>42887</v>
      </c>
      <c r="B327" t="inlineStr">
        <is>
          <t>watches_gifts</t>
        </is>
      </c>
      <c r="C327" t="n">
        <v>113</v>
      </c>
      <c r="D327" t="n">
        <v>119</v>
      </c>
      <c r="E327" t="n">
        <v>29221.71</v>
      </c>
    </row>
    <row r="328">
      <c r="A328" s="19" t="n">
        <v>42917</v>
      </c>
      <c r="B328" t="inlineStr">
        <is>
          <t>agro_industry_and_commerce</t>
        </is>
      </c>
      <c r="C328" t="n">
        <v>1</v>
      </c>
      <c r="D328" t="n">
        <v>1</v>
      </c>
      <c r="E328" t="n">
        <v>1199.47</v>
      </c>
    </row>
    <row r="329">
      <c r="A329" s="19" t="n">
        <v>42917</v>
      </c>
      <c r="B329" t="inlineStr">
        <is>
          <t>air_conditioning</t>
        </is>
      </c>
      <c r="C329" t="n">
        <v>5</v>
      </c>
      <c r="D329" t="n">
        <v>5</v>
      </c>
      <c r="E329" t="n">
        <v>1493.13</v>
      </c>
    </row>
    <row r="330">
      <c r="A330" s="19" t="n">
        <v>42917</v>
      </c>
      <c r="B330" t="inlineStr">
        <is>
          <t>art</t>
        </is>
      </c>
      <c r="C330" t="n">
        <v>3</v>
      </c>
      <c r="D330" t="n">
        <v>3</v>
      </c>
      <c r="E330" t="n">
        <v>424.9</v>
      </c>
    </row>
    <row r="331">
      <c r="A331" s="19" t="n">
        <v>42917</v>
      </c>
      <c r="B331" t="inlineStr">
        <is>
          <t>arts_and_craftmanship</t>
        </is>
      </c>
      <c r="C331" t="n">
        <v>1</v>
      </c>
      <c r="D331" t="n">
        <v>1</v>
      </c>
      <c r="E331" t="n">
        <v>145.56</v>
      </c>
    </row>
    <row r="332">
      <c r="A332" s="19" t="n">
        <v>42917</v>
      </c>
      <c r="B332" t="inlineStr">
        <is>
          <t>audio</t>
        </is>
      </c>
      <c r="C332" t="n">
        <v>6</v>
      </c>
      <c r="D332" t="n">
        <v>6</v>
      </c>
      <c r="E332" t="n">
        <v>767.29</v>
      </c>
    </row>
    <row r="333">
      <c r="A333" s="19" t="n">
        <v>42917</v>
      </c>
      <c r="B333" t="inlineStr">
        <is>
          <t>auto</t>
        </is>
      </c>
      <c r="C333" t="n">
        <v>103</v>
      </c>
      <c r="D333" t="n">
        <v>114</v>
      </c>
      <c r="E333" t="n">
        <v>16192.75</v>
      </c>
    </row>
    <row r="334">
      <c r="A334" s="19" t="n">
        <v>42917</v>
      </c>
      <c r="B334" t="inlineStr">
        <is>
          <t>baby</t>
        </is>
      </c>
      <c r="C334" t="n">
        <v>121</v>
      </c>
      <c r="D334" t="n">
        <v>125</v>
      </c>
      <c r="E334" t="n">
        <v>17947.09</v>
      </c>
    </row>
    <row r="335">
      <c r="A335" s="19" t="n">
        <v>42917</v>
      </c>
      <c r="B335" t="inlineStr">
        <is>
          <t>bed_bath_table</t>
        </is>
      </c>
      <c r="C335" t="n">
        <v>503</v>
      </c>
      <c r="D335" t="n">
        <v>569</v>
      </c>
      <c r="E335" t="n">
        <v>73336.34</v>
      </c>
    </row>
    <row r="336">
      <c r="A336" s="19" t="n">
        <v>42917</v>
      </c>
      <c r="B336" t="inlineStr">
        <is>
          <t>books_general_interest</t>
        </is>
      </c>
      <c r="C336" t="n">
        <v>12</v>
      </c>
      <c r="D336" t="n">
        <v>13</v>
      </c>
      <c r="E336" t="n">
        <v>1545.28</v>
      </c>
    </row>
    <row r="337">
      <c r="A337" s="19" t="n">
        <v>42917</v>
      </c>
      <c r="B337" t="inlineStr">
        <is>
          <t>books_technical</t>
        </is>
      </c>
      <c r="C337" t="n">
        <v>2</v>
      </c>
      <c r="D337" t="n">
        <v>2</v>
      </c>
      <c r="E337" t="n">
        <v>580.88</v>
      </c>
    </row>
    <row r="338">
      <c r="A338" s="19" t="n">
        <v>42917</v>
      </c>
      <c r="B338" t="inlineStr">
        <is>
          <t>cds_dvds_musicals</t>
        </is>
      </c>
      <c r="C338" t="n">
        <v>4</v>
      </c>
      <c r="D338" t="n">
        <v>5</v>
      </c>
      <c r="E338" t="n">
        <v>299.38</v>
      </c>
    </row>
    <row r="339">
      <c r="A339" s="19" t="n">
        <v>42917</v>
      </c>
      <c r="B339" t="inlineStr">
        <is>
          <t>christmas_supplies</t>
        </is>
      </c>
      <c r="C339" t="n">
        <v>2</v>
      </c>
      <c r="D339" t="n">
        <v>2</v>
      </c>
      <c r="E339" t="n">
        <v>98.05</v>
      </c>
    </row>
    <row r="340">
      <c r="A340" s="19" t="n">
        <v>42917</v>
      </c>
      <c r="B340" t="inlineStr">
        <is>
          <t>computers_accessories</t>
        </is>
      </c>
      <c r="C340" t="n">
        <v>268</v>
      </c>
      <c r="D340" t="n">
        <v>320</v>
      </c>
      <c r="E340" t="n">
        <v>43948.83</v>
      </c>
    </row>
    <row r="341">
      <c r="A341" s="19" t="n">
        <v>42917</v>
      </c>
      <c r="B341" t="inlineStr">
        <is>
          <t>consoles_games</t>
        </is>
      </c>
      <c r="C341" t="n">
        <v>45</v>
      </c>
      <c r="D341" t="n">
        <v>47</v>
      </c>
      <c r="E341" t="n">
        <v>6265.21</v>
      </c>
    </row>
    <row r="342">
      <c r="A342" s="19" t="n">
        <v>42917</v>
      </c>
      <c r="B342" t="inlineStr">
        <is>
          <t>construction_tools_construction</t>
        </is>
      </c>
      <c r="C342" t="n">
        <v>5</v>
      </c>
      <c r="D342" t="n">
        <v>6</v>
      </c>
      <c r="E342" t="n">
        <v>822.97</v>
      </c>
    </row>
    <row r="343">
      <c r="A343" s="19" t="n">
        <v>42917</v>
      </c>
      <c r="B343" t="inlineStr">
        <is>
          <t>construction_tools_lights</t>
        </is>
      </c>
      <c r="C343" t="n">
        <v>1</v>
      </c>
      <c r="D343" t="n">
        <v>1</v>
      </c>
      <c r="E343" t="n">
        <v>401.45</v>
      </c>
    </row>
    <row r="344">
      <c r="A344" s="19" t="n">
        <v>42917</v>
      </c>
      <c r="B344" t="inlineStr">
        <is>
          <t>cool_stuff</t>
        </is>
      </c>
      <c r="C344" t="n">
        <v>220</v>
      </c>
      <c r="D344" t="n">
        <v>228</v>
      </c>
      <c r="E344" t="n">
        <v>41429.43</v>
      </c>
    </row>
    <row r="345">
      <c r="A345" s="19" t="n">
        <v>42917</v>
      </c>
      <c r="B345" t="inlineStr">
        <is>
          <t>costruction_tools_garden</t>
        </is>
      </c>
      <c r="C345" t="n">
        <v>7</v>
      </c>
      <c r="D345" t="n">
        <v>8</v>
      </c>
      <c r="E345" t="n">
        <v>473.37</v>
      </c>
    </row>
    <row r="346">
      <c r="A346" s="19" t="n">
        <v>42917</v>
      </c>
      <c r="B346" t="inlineStr">
        <is>
          <t>drinks</t>
        </is>
      </c>
      <c r="C346" t="n">
        <v>2</v>
      </c>
      <c r="D346" t="n">
        <v>3</v>
      </c>
      <c r="E346" t="n">
        <v>348.08</v>
      </c>
    </row>
    <row r="347">
      <c r="A347" s="19" t="n">
        <v>42917</v>
      </c>
      <c r="B347" t="inlineStr">
        <is>
          <t>dvds_blu_ray</t>
        </is>
      </c>
      <c r="C347" t="n">
        <v>3</v>
      </c>
      <c r="D347" t="n">
        <v>3</v>
      </c>
      <c r="E347" t="n">
        <v>796.46</v>
      </c>
    </row>
    <row r="348">
      <c r="A348" s="19" t="n">
        <v>42917</v>
      </c>
      <c r="B348" t="inlineStr">
        <is>
          <t>electronics</t>
        </is>
      </c>
      <c r="C348" t="n">
        <v>84</v>
      </c>
      <c r="D348" t="n">
        <v>94</v>
      </c>
      <c r="E348" t="n">
        <v>8939.9</v>
      </c>
    </row>
    <row r="349">
      <c r="A349" s="19" t="n">
        <v>42917</v>
      </c>
      <c r="B349" t="inlineStr">
        <is>
          <t>fashio_female_clothing</t>
        </is>
      </c>
      <c r="C349" t="n">
        <v>4</v>
      </c>
      <c r="D349" t="n">
        <v>4</v>
      </c>
      <c r="E349" t="n">
        <v>364.4</v>
      </c>
    </row>
    <row r="350">
      <c r="A350" s="19" t="n">
        <v>42917</v>
      </c>
      <c r="B350" t="inlineStr">
        <is>
          <t>fashion_bags_accessories</t>
        </is>
      </c>
      <c r="C350" t="n">
        <v>80</v>
      </c>
      <c r="D350" t="n">
        <v>86</v>
      </c>
      <c r="E350" t="n">
        <v>6315.450000000001</v>
      </c>
    </row>
    <row r="351">
      <c r="A351" s="19" t="n">
        <v>42917</v>
      </c>
      <c r="B351" t="inlineStr">
        <is>
          <t>fashion_male_clothing</t>
        </is>
      </c>
      <c r="C351" t="n">
        <v>8</v>
      </c>
      <c r="D351" t="n">
        <v>9</v>
      </c>
      <c r="E351" t="n">
        <v>860.3299999999999</v>
      </c>
    </row>
    <row r="352">
      <c r="A352" s="19" t="n">
        <v>42917</v>
      </c>
      <c r="B352" t="inlineStr">
        <is>
          <t>fashion_shoes</t>
        </is>
      </c>
      <c r="C352" t="n">
        <v>18</v>
      </c>
      <c r="D352" t="n">
        <v>19</v>
      </c>
      <c r="E352" t="n">
        <v>1606.71</v>
      </c>
    </row>
    <row r="353">
      <c r="A353" s="19" t="n">
        <v>42917</v>
      </c>
      <c r="B353" t="inlineStr">
        <is>
          <t>fashion_sport</t>
        </is>
      </c>
      <c r="C353" t="n">
        <v>1</v>
      </c>
      <c r="D353" t="n">
        <v>1</v>
      </c>
      <c r="E353" t="n">
        <v>77.68000000000001</v>
      </c>
    </row>
    <row r="354">
      <c r="A354" s="19" t="n">
        <v>42917</v>
      </c>
      <c r="B354" t="inlineStr">
        <is>
          <t>fashion_underwear_beach</t>
        </is>
      </c>
      <c r="C354" t="n">
        <v>3</v>
      </c>
      <c r="D354" t="n">
        <v>3</v>
      </c>
      <c r="E354" t="n">
        <v>314.48</v>
      </c>
    </row>
    <row r="355">
      <c r="A355" s="19" t="n">
        <v>42917</v>
      </c>
      <c r="B355" t="inlineStr">
        <is>
          <t>fixed_telephony</t>
        </is>
      </c>
      <c r="C355" t="n">
        <v>8</v>
      </c>
      <c r="D355" t="n">
        <v>9</v>
      </c>
      <c r="E355" t="n">
        <v>348.27</v>
      </c>
    </row>
    <row r="356">
      <c r="A356" s="19" t="n">
        <v>42917</v>
      </c>
      <c r="B356" t="inlineStr">
        <is>
          <t>food</t>
        </is>
      </c>
      <c r="C356" t="n">
        <v>7</v>
      </c>
      <c r="D356" t="n">
        <v>7</v>
      </c>
      <c r="E356" t="n">
        <v>754.1900000000001</v>
      </c>
    </row>
    <row r="357">
      <c r="A357" s="19" t="n">
        <v>42917</v>
      </c>
      <c r="B357" t="inlineStr">
        <is>
          <t>food_drink</t>
        </is>
      </c>
      <c r="C357" t="n">
        <v>7</v>
      </c>
      <c r="D357" t="n">
        <v>8</v>
      </c>
      <c r="E357" t="n">
        <v>261.68</v>
      </c>
    </row>
    <row r="358">
      <c r="A358" s="19" t="n">
        <v>42917</v>
      </c>
      <c r="B358" t="inlineStr">
        <is>
          <t>furniture_bedroom</t>
        </is>
      </c>
      <c r="C358" t="n">
        <v>4</v>
      </c>
      <c r="D358" t="n">
        <v>4</v>
      </c>
      <c r="E358" t="n">
        <v>1368.65</v>
      </c>
    </row>
    <row r="359">
      <c r="A359" s="19" t="n">
        <v>42917</v>
      </c>
      <c r="B359" t="inlineStr">
        <is>
          <t>furniture_decor</t>
        </is>
      </c>
      <c r="C359" t="n">
        <v>249</v>
      </c>
      <c r="D359" t="n">
        <v>314</v>
      </c>
      <c r="E359" t="n">
        <v>29766.78</v>
      </c>
    </row>
    <row r="360">
      <c r="A360" s="19" t="n">
        <v>42917</v>
      </c>
      <c r="B360" t="inlineStr">
        <is>
          <t>furniture_living_room</t>
        </is>
      </c>
      <c r="C360" t="n">
        <v>26</v>
      </c>
      <c r="D360" t="n">
        <v>30</v>
      </c>
      <c r="E360" t="n">
        <v>4738.73</v>
      </c>
    </row>
    <row r="361">
      <c r="A361" s="19" t="n">
        <v>42917</v>
      </c>
      <c r="B361" t="inlineStr">
        <is>
          <t>furniture_mattress_and_upholstery</t>
        </is>
      </c>
      <c r="C361" t="n">
        <v>1</v>
      </c>
      <c r="D361" t="n">
        <v>1</v>
      </c>
      <c r="E361" t="n">
        <v>178.53</v>
      </c>
    </row>
    <row r="362">
      <c r="A362" s="19" t="n">
        <v>42917</v>
      </c>
      <c r="B362" t="inlineStr">
        <is>
          <t>garden_tools</t>
        </is>
      </c>
      <c r="C362" t="n">
        <v>153</v>
      </c>
      <c r="D362" t="n">
        <v>184</v>
      </c>
      <c r="E362" t="n">
        <v>22908.88</v>
      </c>
    </row>
    <row r="363">
      <c r="A363" s="19" t="n">
        <v>42917</v>
      </c>
      <c r="B363" t="inlineStr">
        <is>
          <t>health_beauty</t>
        </is>
      </c>
      <c r="C363" t="n">
        <v>270</v>
      </c>
      <c r="D363" t="n">
        <v>308</v>
      </c>
      <c r="E363" t="n">
        <v>39593.71</v>
      </c>
    </row>
    <row r="364">
      <c r="A364" s="19" t="n">
        <v>42917</v>
      </c>
      <c r="B364" t="inlineStr">
        <is>
          <t>home_appliances</t>
        </is>
      </c>
      <c r="C364" t="n">
        <v>37</v>
      </c>
      <c r="D364" t="n">
        <v>37</v>
      </c>
      <c r="E364" t="n">
        <v>4336.18</v>
      </c>
    </row>
    <row r="365">
      <c r="A365" s="19" t="n">
        <v>42917</v>
      </c>
      <c r="B365" t="inlineStr">
        <is>
          <t>home_appliances_2</t>
        </is>
      </c>
      <c r="C365" t="n">
        <v>7</v>
      </c>
      <c r="D365" t="n">
        <v>7</v>
      </c>
      <c r="E365" t="n">
        <v>1306.88</v>
      </c>
    </row>
    <row r="366">
      <c r="A366" s="19" t="n">
        <v>42917</v>
      </c>
      <c r="B366" t="inlineStr">
        <is>
          <t>home_comfort_2</t>
        </is>
      </c>
      <c r="C366" t="n">
        <v>1</v>
      </c>
      <c r="D366" t="n">
        <v>1</v>
      </c>
      <c r="E366" t="n">
        <v>28</v>
      </c>
    </row>
    <row r="367">
      <c r="A367" s="19" t="n">
        <v>42917</v>
      </c>
      <c r="B367" t="inlineStr">
        <is>
          <t>home_confort</t>
        </is>
      </c>
      <c r="C367" t="n">
        <v>36</v>
      </c>
      <c r="D367" t="n">
        <v>43</v>
      </c>
      <c r="E367" t="n">
        <v>5401.43</v>
      </c>
    </row>
    <row r="368">
      <c r="A368" s="19" t="n">
        <v>42917</v>
      </c>
      <c r="B368" t="inlineStr">
        <is>
          <t>home_construction</t>
        </is>
      </c>
      <c r="C368" t="n">
        <v>1</v>
      </c>
      <c r="D368" t="n">
        <v>2</v>
      </c>
      <c r="E368" t="n">
        <v>123.8</v>
      </c>
    </row>
    <row r="369">
      <c r="A369" s="19" t="n">
        <v>42917</v>
      </c>
      <c r="B369" t="inlineStr">
        <is>
          <t>housewares</t>
        </is>
      </c>
      <c r="C369" t="n">
        <v>220</v>
      </c>
      <c r="D369" t="n">
        <v>271</v>
      </c>
      <c r="E369" t="n">
        <v>24854.86</v>
      </c>
    </row>
    <row r="370">
      <c r="A370" s="19" t="n">
        <v>42917</v>
      </c>
      <c r="B370" t="inlineStr">
        <is>
          <t>industry_commerce_and_business</t>
        </is>
      </c>
      <c r="C370" t="n">
        <v>2</v>
      </c>
      <c r="D370" t="n">
        <v>2</v>
      </c>
      <c r="E370" t="n">
        <v>352.25</v>
      </c>
    </row>
    <row r="371">
      <c r="A371" s="19" t="n">
        <v>42917</v>
      </c>
      <c r="B371" t="inlineStr">
        <is>
          <t>kitchen_dining_laundry_garden_furniture</t>
        </is>
      </c>
      <c r="C371" t="n">
        <v>9</v>
      </c>
      <c r="D371" t="n">
        <v>11</v>
      </c>
      <c r="E371" t="n">
        <v>1657.56</v>
      </c>
    </row>
    <row r="372">
      <c r="A372" s="19" t="n">
        <v>42917</v>
      </c>
      <c r="B372" t="inlineStr">
        <is>
          <t>la_cuisine</t>
        </is>
      </c>
      <c r="C372" t="n">
        <v>4</v>
      </c>
      <c r="D372" t="n">
        <v>4</v>
      </c>
      <c r="E372" t="n">
        <v>559.23</v>
      </c>
    </row>
    <row r="373">
      <c r="A373" s="19" t="n">
        <v>42917</v>
      </c>
      <c r="B373" t="inlineStr">
        <is>
          <t>luggage_accessories</t>
        </is>
      </c>
      <c r="C373" t="n">
        <v>72</v>
      </c>
      <c r="D373" t="n">
        <v>73</v>
      </c>
      <c r="E373" t="n">
        <v>10243</v>
      </c>
    </row>
    <row r="374">
      <c r="A374" s="19" t="n">
        <v>42917</v>
      </c>
      <c r="B374" t="inlineStr">
        <is>
          <t>market_place</t>
        </is>
      </c>
      <c r="C374" t="n">
        <v>13</v>
      </c>
      <c r="D374" t="n">
        <v>13</v>
      </c>
      <c r="E374" t="n">
        <v>1799.95</v>
      </c>
    </row>
    <row r="375">
      <c r="A375" s="19" t="n">
        <v>42917</v>
      </c>
      <c r="B375" t="inlineStr">
        <is>
          <t>music</t>
        </is>
      </c>
      <c r="C375" t="n">
        <v>1</v>
      </c>
      <c r="D375" t="n">
        <v>1</v>
      </c>
      <c r="E375" t="n">
        <v>350.54</v>
      </c>
    </row>
    <row r="376">
      <c r="A376" s="19" t="n">
        <v>42917</v>
      </c>
      <c r="B376" t="inlineStr">
        <is>
          <t>musical_instruments</t>
        </is>
      </c>
      <c r="C376" t="n">
        <v>26</v>
      </c>
      <c r="D376" t="n">
        <v>30</v>
      </c>
      <c r="E376" t="n">
        <v>8030.27</v>
      </c>
    </row>
    <row r="377">
      <c r="A377" s="19" t="n">
        <v>42917</v>
      </c>
      <c r="B377" t="inlineStr">
        <is>
          <t>office_furniture</t>
        </is>
      </c>
      <c r="C377" t="n">
        <v>97</v>
      </c>
      <c r="D377" t="n">
        <v>115</v>
      </c>
      <c r="E377" t="n">
        <v>21267.13</v>
      </c>
    </row>
    <row r="378">
      <c r="A378" s="19" t="n">
        <v>42917</v>
      </c>
      <c r="B378" t="inlineStr">
        <is>
          <t>party_supplies</t>
        </is>
      </c>
      <c r="C378" t="n">
        <v>1</v>
      </c>
      <c r="D378" t="n">
        <v>1</v>
      </c>
      <c r="E378" t="n">
        <v>83.41</v>
      </c>
    </row>
    <row r="379">
      <c r="A379" s="19" t="n">
        <v>42917</v>
      </c>
      <c r="B379" t="inlineStr">
        <is>
          <t>perfumery</t>
        </is>
      </c>
      <c r="C379" t="n">
        <v>115</v>
      </c>
      <c r="D379" t="n">
        <v>121</v>
      </c>
      <c r="E379" t="n">
        <v>14550.84</v>
      </c>
    </row>
    <row r="380">
      <c r="A380" s="19" t="n">
        <v>42917</v>
      </c>
      <c r="B380" t="inlineStr">
        <is>
          <t>pet_shop</t>
        </is>
      </c>
      <c r="C380" t="n">
        <v>70</v>
      </c>
      <c r="D380" t="n">
        <v>85</v>
      </c>
      <c r="E380" t="n">
        <v>8272.16</v>
      </c>
    </row>
    <row r="381">
      <c r="A381" s="19" t="n">
        <v>42917</v>
      </c>
      <c r="B381" t="inlineStr">
        <is>
          <t>signaling_and_security</t>
        </is>
      </c>
      <c r="C381" t="n">
        <v>4</v>
      </c>
      <c r="D381" t="n">
        <v>5</v>
      </c>
      <c r="E381" t="n">
        <v>618.78</v>
      </c>
    </row>
    <row r="382">
      <c r="A382" s="19" t="n">
        <v>42917</v>
      </c>
      <c r="B382" t="inlineStr">
        <is>
          <t>small_appliances</t>
        </is>
      </c>
      <c r="C382" t="n">
        <v>30</v>
      </c>
      <c r="D382" t="n">
        <v>31</v>
      </c>
      <c r="E382" t="n">
        <v>4310</v>
      </c>
    </row>
    <row r="383">
      <c r="A383" s="19" t="n">
        <v>42917</v>
      </c>
      <c r="B383" t="inlineStr">
        <is>
          <t>sports_leisure</t>
        </is>
      </c>
      <c r="C383" t="n">
        <v>327</v>
      </c>
      <c r="D383" t="n">
        <v>375</v>
      </c>
      <c r="E383" t="n">
        <v>43896.84</v>
      </c>
    </row>
    <row r="384">
      <c r="A384" s="19" t="n">
        <v>42917</v>
      </c>
      <c r="B384" t="inlineStr">
        <is>
          <t>stationery</t>
        </is>
      </c>
      <c r="C384" t="n">
        <v>72</v>
      </c>
      <c r="D384" t="n">
        <v>77</v>
      </c>
      <c r="E384" t="n">
        <v>8215.309999999999</v>
      </c>
    </row>
    <row r="385">
      <c r="A385" s="19" t="n">
        <v>42917</v>
      </c>
      <c r="B385" t="inlineStr">
        <is>
          <t>tablets_printing_image</t>
        </is>
      </c>
      <c r="C385" t="n">
        <v>2</v>
      </c>
      <c r="D385" t="n">
        <v>2</v>
      </c>
      <c r="E385" t="n">
        <v>219.63</v>
      </c>
    </row>
    <row r="386">
      <c r="A386" s="19" t="n">
        <v>42917</v>
      </c>
      <c r="B386" t="inlineStr">
        <is>
          <t>telephony</t>
        </is>
      </c>
      <c r="C386" t="n">
        <v>135</v>
      </c>
      <c r="D386" t="n">
        <v>143</v>
      </c>
      <c r="E386" t="n">
        <v>11177.74</v>
      </c>
    </row>
    <row r="387">
      <c r="A387" s="19" t="n">
        <v>42917</v>
      </c>
      <c r="B387" t="inlineStr">
        <is>
          <t>toys</t>
        </is>
      </c>
      <c r="C387" t="n">
        <v>197</v>
      </c>
      <c r="D387" t="n">
        <v>203</v>
      </c>
      <c r="E387" t="n">
        <v>27553.72</v>
      </c>
    </row>
    <row r="388">
      <c r="A388" s="19" t="n">
        <v>42917</v>
      </c>
      <c r="B388" t="inlineStr">
        <is>
          <t>unknown</t>
        </is>
      </c>
      <c r="C388" t="n">
        <v>52</v>
      </c>
      <c r="D388" t="n">
        <v>58</v>
      </c>
      <c r="E388" t="n">
        <v>3842.41</v>
      </c>
    </row>
    <row r="389">
      <c r="A389" s="19" t="n">
        <v>42917</v>
      </c>
      <c r="B389" t="inlineStr">
        <is>
          <t>watches_gifts</t>
        </is>
      </c>
      <c r="C389" t="n">
        <v>151</v>
      </c>
      <c r="D389" t="n">
        <v>162</v>
      </c>
      <c r="E389" t="n">
        <v>36332.87</v>
      </c>
    </row>
    <row r="390">
      <c r="A390" s="19" t="n">
        <v>42948</v>
      </c>
      <c r="B390" t="inlineStr">
        <is>
          <t>agro_industry_and_commerce</t>
        </is>
      </c>
      <c r="C390" t="n">
        <v>1</v>
      </c>
      <c r="D390" t="n">
        <v>4</v>
      </c>
      <c r="E390" t="n">
        <v>224.6</v>
      </c>
    </row>
    <row r="391">
      <c r="A391" s="19" t="n">
        <v>42948</v>
      </c>
      <c r="B391" t="inlineStr">
        <is>
          <t>air_conditioning</t>
        </is>
      </c>
      <c r="C391" t="n">
        <v>12</v>
      </c>
      <c r="D391" t="n">
        <v>15</v>
      </c>
      <c r="E391" t="n">
        <v>4563.49</v>
      </c>
    </row>
    <row r="392">
      <c r="A392" s="19" t="n">
        <v>42948</v>
      </c>
      <c r="B392" t="inlineStr">
        <is>
          <t>art</t>
        </is>
      </c>
      <c r="C392" t="n">
        <v>4</v>
      </c>
      <c r="D392" t="n">
        <v>4</v>
      </c>
      <c r="E392" t="n">
        <v>317.06</v>
      </c>
    </row>
    <row r="393">
      <c r="A393" s="19" t="n">
        <v>42948</v>
      </c>
      <c r="B393" t="inlineStr">
        <is>
          <t>audio</t>
        </is>
      </c>
      <c r="C393" t="n">
        <v>7</v>
      </c>
      <c r="D393" t="n">
        <v>7</v>
      </c>
      <c r="E393" t="n">
        <v>1146.44</v>
      </c>
    </row>
    <row r="394">
      <c r="A394" s="19" t="n">
        <v>42948</v>
      </c>
      <c r="B394" t="inlineStr">
        <is>
          <t>auto</t>
        </is>
      </c>
      <c r="C394" t="n">
        <v>128</v>
      </c>
      <c r="D394" t="n">
        <v>161</v>
      </c>
      <c r="E394" t="n">
        <v>22303.65</v>
      </c>
    </row>
    <row r="395">
      <c r="A395" s="19" t="n">
        <v>42948</v>
      </c>
      <c r="B395" t="inlineStr">
        <is>
          <t>baby</t>
        </is>
      </c>
      <c r="C395" t="n">
        <v>120</v>
      </c>
      <c r="D395" t="n">
        <v>127</v>
      </c>
      <c r="E395" t="n">
        <v>22192.58</v>
      </c>
    </row>
    <row r="396">
      <c r="A396" s="19" t="n">
        <v>42948</v>
      </c>
      <c r="B396" t="inlineStr">
        <is>
          <t>bed_bath_table</t>
        </is>
      </c>
      <c r="C396" t="n">
        <v>442</v>
      </c>
      <c r="D396" t="n">
        <v>506</v>
      </c>
      <c r="E396" t="n">
        <v>65628.16</v>
      </c>
    </row>
    <row r="397">
      <c r="A397" s="19" t="n">
        <v>42948</v>
      </c>
      <c r="B397" t="inlineStr">
        <is>
          <t>books_general_interest</t>
        </is>
      </c>
      <c r="C397" t="n">
        <v>27</v>
      </c>
      <c r="D397" t="n">
        <v>27</v>
      </c>
      <c r="E397" t="n">
        <v>2680.45</v>
      </c>
    </row>
    <row r="398">
      <c r="A398" s="19" t="n">
        <v>42948</v>
      </c>
      <c r="B398" t="inlineStr">
        <is>
          <t>books_imported</t>
        </is>
      </c>
      <c r="C398" t="n">
        <v>1</v>
      </c>
      <c r="D398" t="n">
        <v>1</v>
      </c>
      <c r="E398" t="n">
        <v>70.34</v>
      </c>
    </row>
    <row r="399">
      <c r="A399" s="19" t="n">
        <v>42948</v>
      </c>
      <c r="B399" t="inlineStr">
        <is>
          <t>books_technical</t>
        </is>
      </c>
      <c r="C399" t="n">
        <v>9</v>
      </c>
      <c r="D399" t="n">
        <v>9</v>
      </c>
      <c r="E399" t="n">
        <v>1324.98</v>
      </c>
    </row>
    <row r="400">
      <c r="A400" s="19" t="n">
        <v>42948</v>
      </c>
      <c r="B400" t="inlineStr">
        <is>
          <t>cds_dvds_musicals</t>
        </is>
      </c>
      <c r="C400" t="n">
        <v>2</v>
      </c>
      <c r="D400" t="n">
        <v>3</v>
      </c>
      <c r="E400" t="n">
        <v>177.16</v>
      </c>
    </row>
    <row r="401">
      <c r="A401" s="19" t="n">
        <v>42948</v>
      </c>
      <c r="B401" t="inlineStr">
        <is>
          <t>christmas_supplies</t>
        </is>
      </c>
      <c r="C401" t="n">
        <v>1</v>
      </c>
      <c r="D401" t="n">
        <v>1</v>
      </c>
      <c r="E401" t="n">
        <v>76.88</v>
      </c>
    </row>
    <row r="402">
      <c r="A402" s="19" t="n">
        <v>42948</v>
      </c>
      <c r="B402" t="inlineStr">
        <is>
          <t>computers</t>
        </is>
      </c>
      <c r="C402" t="n">
        <v>28</v>
      </c>
      <c r="D402" t="n">
        <v>28</v>
      </c>
      <c r="E402" t="n">
        <v>33497.41</v>
      </c>
    </row>
    <row r="403">
      <c r="A403" s="19" t="n">
        <v>42948</v>
      </c>
      <c r="B403" t="inlineStr">
        <is>
          <t>computers_accessories</t>
        </is>
      </c>
      <c r="C403" t="n">
        <v>290</v>
      </c>
      <c r="D403" t="n">
        <v>341</v>
      </c>
      <c r="E403" t="n">
        <v>39548.23</v>
      </c>
    </row>
    <row r="404">
      <c r="A404" s="19" t="n">
        <v>42948</v>
      </c>
      <c r="B404" t="inlineStr">
        <is>
          <t>consoles_games</t>
        </is>
      </c>
      <c r="C404" t="n">
        <v>79</v>
      </c>
      <c r="D404" t="n">
        <v>84</v>
      </c>
      <c r="E404" t="n">
        <v>9548.5</v>
      </c>
    </row>
    <row r="405">
      <c r="A405" s="19" t="n">
        <v>42948</v>
      </c>
      <c r="B405" t="inlineStr">
        <is>
          <t>construction_tools_construction</t>
        </is>
      </c>
      <c r="C405" t="n">
        <v>6</v>
      </c>
      <c r="D405" t="n">
        <v>7</v>
      </c>
      <c r="E405" t="n">
        <v>1394.33</v>
      </c>
    </row>
    <row r="406">
      <c r="A406" s="19" t="n">
        <v>42948</v>
      </c>
      <c r="B406" t="inlineStr">
        <is>
          <t>construction_tools_lights</t>
        </is>
      </c>
      <c r="C406" t="n">
        <v>2</v>
      </c>
      <c r="D406" t="n">
        <v>2</v>
      </c>
      <c r="E406" t="n">
        <v>670.98</v>
      </c>
    </row>
    <row r="407">
      <c r="A407" s="19" t="n">
        <v>42948</v>
      </c>
      <c r="B407" t="inlineStr">
        <is>
          <t>construction_tools_safety</t>
        </is>
      </c>
      <c r="C407" t="n">
        <v>1</v>
      </c>
      <c r="D407" t="n">
        <v>1</v>
      </c>
      <c r="E407" t="n">
        <v>24.69</v>
      </c>
    </row>
    <row r="408">
      <c r="A408" s="19" t="n">
        <v>42948</v>
      </c>
      <c r="B408" t="inlineStr">
        <is>
          <t>cool_stuff</t>
        </is>
      </c>
      <c r="C408" t="n">
        <v>235</v>
      </c>
      <c r="D408" t="n">
        <v>256</v>
      </c>
      <c r="E408" t="n">
        <v>43552.61</v>
      </c>
    </row>
    <row r="409">
      <c r="A409" s="19" t="n">
        <v>42948</v>
      </c>
      <c r="B409" t="inlineStr">
        <is>
          <t>costruction_tools_garden</t>
        </is>
      </c>
      <c r="C409" t="n">
        <v>7</v>
      </c>
      <c r="D409" t="n">
        <v>10</v>
      </c>
      <c r="E409" t="n">
        <v>1483</v>
      </c>
    </row>
    <row r="410">
      <c r="A410" s="19" t="n">
        <v>42948</v>
      </c>
      <c r="B410" t="inlineStr">
        <is>
          <t>drinks</t>
        </is>
      </c>
      <c r="C410" t="n">
        <v>2</v>
      </c>
      <c r="D410" t="n">
        <v>2</v>
      </c>
      <c r="E410" t="n">
        <v>148.77</v>
      </c>
    </row>
    <row r="411">
      <c r="A411" s="19" t="n">
        <v>42948</v>
      </c>
      <c r="B411" t="inlineStr">
        <is>
          <t>dvds_blu_ray</t>
        </is>
      </c>
      <c r="C411" t="n">
        <v>6</v>
      </c>
      <c r="D411" t="n">
        <v>6</v>
      </c>
      <c r="E411" t="n">
        <v>231.83</v>
      </c>
    </row>
    <row r="412">
      <c r="A412" s="19" t="n">
        <v>42948</v>
      </c>
      <c r="B412" t="inlineStr">
        <is>
          <t>electronics</t>
        </is>
      </c>
      <c r="C412" t="n">
        <v>52</v>
      </c>
      <c r="D412" t="n">
        <v>56</v>
      </c>
      <c r="E412" t="n">
        <v>3765.86</v>
      </c>
    </row>
    <row r="413">
      <c r="A413" s="19" t="n">
        <v>42948</v>
      </c>
      <c r="B413" t="inlineStr">
        <is>
          <t>fashio_female_clothing</t>
        </is>
      </c>
      <c r="C413" t="n">
        <v>4</v>
      </c>
      <c r="D413" t="n">
        <v>4</v>
      </c>
      <c r="E413" t="n">
        <v>235.65</v>
      </c>
    </row>
    <row r="414">
      <c r="A414" s="19" t="n">
        <v>42948</v>
      </c>
      <c r="B414" t="inlineStr">
        <is>
          <t>fashion_bags_accessories</t>
        </is>
      </c>
      <c r="C414" t="n">
        <v>85</v>
      </c>
      <c r="D414" t="n">
        <v>95</v>
      </c>
      <c r="E414" t="n">
        <v>7807.01</v>
      </c>
    </row>
    <row r="415">
      <c r="A415" s="19" t="n">
        <v>42948</v>
      </c>
      <c r="B415" t="inlineStr">
        <is>
          <t>fashion_male_clothing</t>
        </is>
      </c>
      <c r="C415" t="n">
        <v>12</v>
      </c>
      <c r="D415" t="n">
        <v>14</v>
      </c>
      <c r="E415" t="n">
        <v>1400.23</v>
      </c>
    </row>
    <row r="416">
      <c r="A416" s="19" t="n">
        <v>42948</v>
      </c>
      <c r="B416" t="inlineStr">
        <is>
          <t>fashion_shoes</t>
        </is>
      </c>
      <c r="C416" t="n">
        <v>18</v>
      </c>
      <c r="D416" t="n">
        <v>22</v>
      </c>
      <c r="E416" t="n">
        <v>1856.37</v>
      </c>
    </row>
    <row r="417">
      <c r="A417" s="19" t="n">
        <v>42948</v>
      </c>
      <c r="B417" t="inlineStr">
        <is>
          <t>fashion_sport</t>
        </is>
      </c>
      <c r="C417" t="n">
        <v>2</v>
      </c>
      <c r="D417" t="n">
        <v>2</v>
      </c>
      <c r="E417" t="n">
        <v>389.44</v>
      </c>
    </row>
    <row r="418">
      <c r="A418" s="19" t="n">
        <v>42948</v>
      </c>
      <c r="B418" t="inlineStr">
        <is>
          <t>fashion_underwear_beach</t>
        </is>
      </c>
      <c r="C418" t="n">
        <v>13</v>
      </c>
      <c r="D418" t="n">
        <v>13</v>
      </c>
      <c r="E418" t="n">
        <v>1308.87</v>
      </c>
    </row>
    <row r="419">
      <c r="A419" s="19" t="n">
        <v>42948</v>
      </c>
      <c r="B419" t="inlineStr">
        <is>
          <t>fixed_telephony</t>
        </is>
      </c>
      <c r="C419" t="n">
        <v>14</v>
      </c>
      <c r="D419" t="n">
        <v>20</v>
      </c>
      <c r="E419" t="n">
        <v>3640.31</v>
      </c>
    </row>
    <row r="420">
      <c r="A420" s="19" t="n">
        <v>42948</v>
      </c>
      <c r="B420" t="inlineStr">
        <is>
          <t>food</t>
        </is>
      </c>
      <c r="C420" t="n">
        <v>8</v>
      </c>
      <c r="D420" t="n">
        <v>8</v>
      </c>
      <c r="E420" t="n">
        <v>500.23</v>
      </c>
    </row>
    <row r="421">
      <c r="A421" s="19" t="n">
        <v>42948</v>
      </c>
      <c r="B421" t="inlineStr">
        <is>
          <t>food_drink</t>
        </is>
      </c>
      <c r="C421" t="n">
        <v>12</v>
      </c>
      <c r="D421" t="n">
        <v>15</v>
      </c>
      <c r="E421" t="n">
        <v>728.95</v>
      </c>
    </row>
    <row r="422">
      <c r="A422" s="19" t="n">
        <v>42948</v>
      </c>
      <c r="B422" t="inlineStr">
        <is>
          <t>furniture_bedroom</t>
        </is>
      </c>
      <c r="C422" t="n">
        <v>3</v>
      </c>
      <c r="D422" t="n">
        <v>3</v>
      </c>
      <c r="E422" t="n">
        <v>702.36</v>
      </c>
    </row>
    <row r="423">
      <c r="A423" s="19" t="n">
        <v>42948</v>
      </c>
      <c r="B423" t="inlineStr">
        <is>
          <t>furniture_decor</t>
        </is>
      </c>
      <c r="C423" t="n">
        <v>323</v>
      </c>
      <c r="D423" t="n">
        <v>426</v>
      </c>
      <c r="E423" t="n">
        <v>41805.88</v>
      </c>
    </row>
    <row r="424">
      <c r="A424" s="19" t="n">
        <v>42948</v>
      </c>
      <c r="B424" t="inlineStr">
        <is>
          <t>furniture_living_room</t>
        </is>
      </c>
      <c r="C424" t="n">
        <v>21</v>
      </c>
      <c r="D424" t="n">
        <v>23</v>
      </c>
      <c r="E424" t="n">
        <v>3158.06</v>
      </c>
    </row>
    <row r="425">
      <c r="A425" s="19" t="n">
        <v>42948</v>
      </c>
      <c r="B425" t="inlineStr">
        <is>
          <t>furniture_mattress_and_upholstery</t>
        </is>
      </c>
      <c r="C425" t="n">
        <v>2</v>
      </c>
      <c r="D425" t="n">
        <v>2</v>
      </c>
      <c r="E425" t="n">
        <v>633.66</v>
      </c>
    </row>
    <row r="426">
      <c r="A426" s="19" t="n">
        <v>42948</v>
      </c>
      <c r="B426" t="inlineStr">
        <is>
          <t>garden_tools</t>
        </is>
      </c>
      <c r="C426" t="n">
        <v>194</v>
      </c>
      <c r="D426" t="n">
        <v>233</v>
      </c>
      <c r="E426" t="n">
        <v>27500.55</v>
      </c>
    </row>
    <row r="427">
      <c r="A427" s="19" t="n">
        <v>42948</v>
      </c>
      <c r="B427" t="inlineStr">
        <is>
          <t>health_beauty</t>
        </is>
      </c>
      <c r="C427" t="n">
        <v>338</v>
      </c>
      <c r="D427" t="n">
        <v>352</v>
      </c>
      <c r="E427" t="n">
        <v>55281.78</v>
      </c>
    </row>
    <row r="428">
      <c r="A428" s="19" t="n">
        <v>42948</v>
      </c>
      <c r="B428" t="inlineStr">
        <is>
          <t>home_appliances</t>
        </is>
      </c>
      <c r="C428" t="n">
        <v>42</v>
      </c>
      <c r="D428" t="n">
        <v>42</v>
      </c>
      <c r="E428" t="n">
        <v>4744.9</v>
      </c>
    </row>
    <row r="429">
      <c r="A429" s="19" t="n">
        <v>42948</v>
      </c>
      <c r="B429" t="inlineStr">
        <is>
          <t>home_appliances_2</t>
        </is>
      </c>
      <c r="C429" t="n">
        <v>15</v>
      </c>
      <c r="D429" t="n">
        <v>15</v>
      </c>
      <c r="E429" t="n">
        <v>4355.280000000001</v>
      </c>
    </row>
    <row r="430">
      <c r="A430" s="19" t="n">
        <v>42948</v>
      </c>
      <c r="B430" t="inlineStr">
        <is>
          <t>home_comfort_2</t>
        </is>
      </c>
      <c r="C430" t="n">
        <v>2</v>
      </c>
      <c r="D430" t="n">
        <v>3</v>
      </c>
      <c r="E430" t="n">
        <v>69.91</v>
      </c>
    </row>
    <row r="431">
      <c r="A431" s="19" t="n">
        <v>42948</v>
      </c>
      <c r="B431" t="inlineStr">
        <is>
          <t>home_confort</t>
        </is>
      </c>
      <c r="C431" t="n">
        <v>24</v>
      </c>
      <c r="D431" t="n">
        <v>28</v>
      </c>
      <c r="E431" t="n">
        <v>4536.12</v>
      </c>
    </row>
    <row r="432">
      <c r="A432" s="19" t="n">
        <v>42948</v>
      </c>
      <c r="B432" t="inlineStr">
        <is>
          <t>home_construction</t>
        </is>
      </c>
      <c r="C432" t="n">
        <v>1</v>
      </c>
      <c r="D432" t="n">
        <v>1</v>
      </c>
      <c r="E432" t="n">
        <v>141.43</v>
      </c>
    </row>
    <row r="433">
      <c r="A433" s="19" t="n">
        <v>42948</v>
      </c>
      <c r="B433" t="inlineStr">
        <is>
          <t>housewares</t>
        </is>
      </c>
      <c r="C433" t="n">
        <v>245</v>
      </c>
      <c r="D433" t="n">
        <v>280</v>
      </c>
      <c r="E433" t="n">
        <v>28627.12</v>
      </c>
    </row>
    <row r="434">
      <c r="A434" s="19" t="n">
        <v>42948</v>
      </c>
      <c r="B434" t="inlineStr">
        <is>
          <t>industry_commerce_and_business</t>
        </is>
      </c>
      <c r="C434" t="n">
        <v>3</v>
      </c>
      <c r="D434" t="n">
        <v>3</v>
      </c>
      <c r="E434" t="n">
        <v>1043.95</v>
      </c>
    </row>
    <row r="435">
      <c r="A435" s="19" t="n">
        <v>42948</v>
      </c>
      <c r="B435" t="inlineStr">
        <is>
          <t>kitchen_dining_laundry_garden_furniture</t>
        </is>
      </c>
      <c r="C435" t="n">
        <v>7</v>
      </c>
      <c r="D435" t="n">
        <v>7</v>
      </c>
      <c r="E435" t="n">
        <v>1231.29</v>
      </c>
    </row>
    <row r="436">
      <c r="A436" s="19" t="n">
        <v>42948</v>
      </c>
      <c r="B436" t="inlineStr">
        <is>
          <t>la_cuisine</t>
        </is>
      </c>
      <c r="C436" t="n">
        <v>2</v>
      </c>
      <c r="D436" t="n">
        <v>2</v>
      </c>
      <c r="E436" t="n">
        <v>373.52</v>
      </c>
    </row>
    <row r="437">
      <c r="A437" s="19" t="n">
        <v>42948</v>
      </c>
      <c r="B437" t="inlineStr">
        <is>
          <t>luggage_accessories</t>
        </is>
      </c>
      <c r="C437" t="n">
        <v>57</v>
      </c>
      <c r="D437" t="n">
        <v>62</v>
      </c>
      <c r="E437" t="n">
        <v>8185.8</v>
      </c>
    </row>
    <row r="438">
      <c r="A438" s="19" t="n">
        <v>42948</v>
      </c>
      <c r="B438" t="inlineStr">
        <is>
          <t>market_place</t>
        </is>
      </c>
      <c r="C438" t="n">
        <v>22</v>
      </c>
      <c r="D438" t="n">
        <v>23</v>
      </c>
      <c r="E438" t="n">
        <v>2360.93</v>
      </c>
    </row>
    <row r="439">
      <c r="A439" s="19" t="n">
        <v>42948</v>
      </c>
      <c r="B439" t="inlineStr">
        <is>
          <t>musical_instruments</t>
        </is>
      </c>
      <c r="C439" t="n">
        <v>23</v>
      </c>
      <c r="D439" t="n">
        <v>23</v>
      </c>
      <c r="E439" t="n">
        <v>7703.2</v>
      </c>
    </row>
    <row r="440">
      <c r="A440" s="19" t="n">
        <v>42948</v>
      </c>
      <c r="B440" t="inlineStr">
        <is>
          <t>office_furniture</t>
        </is>
      </c>
      <c r="C440" t="n">
        <v>46</v>
      </c>
      <c r="D440" t="n">
        <v>58</v>
      </c>
      <c r="E440" t="n">
        <v>12389.04</v>
      </c>
    </row>
    <row r="441">
      <c r="A441" s="19" t="n">
        <v>42948</v>
      </c>
      <c r="B441" t="inlineStr">
        <is>
          <t>perfumery</t>
        </is>
      </c>
      <c r="C441" t="n">
        <v>117</v>
      </c>
      <c r="D441" t="n">
        <v>127</v>
      </c>
      <c r="E441" t="n">
        <v>14981.47</v>
      </c>
    </row>
    <row r="442">
      <c r="A442" s="19" t="n">
        <v>42948</v>
      </c>
      <c r="B442" t="inlineStr">
        <is>
          <t>pet_shop</t>
        </is>
      </c>
      <c r="C442" t="n">
        <v>75</v>
      </c>
      <c r="D442" t="n">
        <v>89</v>
      </c>
      <c r="E442" t="n">
        <v>12128.78</v>
      </c>
    </row>
    <row r="443">
      <c r="A443" s="19" t="n">
        <v>42948</v>
      </c>
      <c r="B443" t="inlineStr">
        <is>
          <t>signaling_and_security</t>
        </is>
      </c>
      <c r="C443" t="n">
        <v>4</v>
      </c>
      <c r="D443" t="n">
        <v>4</v>
      </c>
      <c r="E443" t="n">
        <v>443.47</v>
      </c>
    </row>
    <row r="444">
      <c r="A444" s="19" t="n">
        <v>42948</v>
      </c>
      <c r="B444" t="inlineStr">
        <is>
          <t>small_appliances</t>
        </is>
      </c>
      <c r="C444" t="n">
        <v>32</v>
      </c>
      <c r="D444" t="n">
        <v>36</v>
      </c>
      <c r="E444" t="n">
        <v>4838.18</v>
      </c>
    </row>
    <row r="445">
      <c r="A445" s="19" t="n">
        <v>42948</v>
      </c>
      <c r="B445" t="inlineStr">
        <is>
          <t>small_appliances_home_oven_and_coffee</t>
        </is>
      </c>
      <c r="C445" t="n">
        <v>1</v>
      </c>
      <c r="D445" t="n">
        <v>1</v>
      </c>
      <c r="E445" t="n">
        <v>33.75</v>
      </c>
    </row>
    <row r="446">
      <c r="A446" s="19" t="n">
        <v>42948</v>
      </c>
      <c r="B446" t="inlineStr">
        <is>
          <t>sports_leisure</t>
        </is>
      </c>
      <c r="C446" t="n">
        <v>375</v>
      </c>
      <c r="D446" t="n">
        <v>417</v>
      </c>
      <c r="E446" t="n">
        <v>48309.09</v>
      </c>
    </row>
    <row r="447">
      <c r="A447" s="19" t="n">
        <v>42948</v>
      </c>
      <c r="B447" t="inlineStr">
        <is>
          <t>stationery</t>
        </is>
      </c>
      <c r="C447" t="n">
        <v>75</v>
      </c>
      <c r="D447" t="n">
        <v>80</v>
      </c>
      <c r="E447" t="n">
        <v>7885.5</v>
      </c>
    </row>
    <row r="448">
      <c r="A448" s="19" t="n">
        <v>42948</v>
      </c>
      <c r="B448" t="inlineStr">
        <is>
          <t>tablets_printing_image</t>
        </is>
      </c>
      <c r="C448" t="n">
        <v>6</v>
      </c>
      <c r="D448" t="n">
        <v>6</v>
      </c>
      <c r="E448" t="n">
        <v>557.8200000000001</v>
      </c>
    </row>
    <row r="449">
      <c r="A449" s="19" t="n">
        <v>42948</v>
      </c>
      <c r="B449" t="inlineStr">
        <is>
          <t>telephony</t>
        </is>
      </c>
      <c r="C449" t="n">
        <v>127</v>
      </c>
      <c r="D449" t="n">
        <v>132</v>
      </c>
      <c r="E449" t="n">
        <v>12791.05</v>
      </c>
    </row>
    <row r="450">
      <c r="A450" s="19" t="n">
        <v>42948</v>
      </c>
      <c r="B450" t="inlineStr">
        <is>
          <t>toys</t>
        </is>
      </c>
      <c r="C450" t="n">
        <v>168</v>
      </c>
      <c r="D450" t="n">
        <v>182</v>
      </c>
      <c r="E450" t="n">
        <v>20797.73</v>
      </c>
    </row>
    <row r="451">
      <c r="A451" s="19" t="n">
        <v>42948</v>
      </c>
      <c r="B451" t="inlineStr">
        <is>
          <t>unknown</t>
        </is>
      </c>
      <c r="C451" t="n">
        <v>64</v>
      </c>
      <c r="D451" t="n">
        <v>75</v>
      </c>
      <c r="E451" t="n">
        <v>6202.73</v>
      </c>
    </row>
    <row r="452">
      <c r="A452" s="19" t="n">
        <v>42948</v>
      </c>
      <c r="B452" t="inlineStr">
        <is>
          <t>watches_gifts</t>
        </is>
      </c>
      <c r="C452" t="n">
        <v>194</v>
      </c>
      <c r="D452" t="n">
        <v>211</v>
      </c>
      <c r="E452" t="n">
        <v>39578.95</v>
      </c>
    </row>
    <row r="453">
      <c r="A453" s="19" t="n">
        <v>42979</v>
      </c>
      <c r="B453" t="inlineStr">
        <is>
          <t>agro_industry_and_commerce</t>
        </is>
      </c>
      <c r="C453" t="n">
        <v>3</v>
      </c>
      <c r="D453" t="n">
        <v>4</v>
      </c>
      <c r="E453" t="n">
        <v>2119.69</v>
      </c>
    </row>
    <row r="454">
      <c r="A454" s="19" t="n">
        <v>42979</v>
      </c>
      <c r="B454" t="inlineStr">
        <is>
          <t>air_conditioning</t>
        </is>
      </c>
      <c r="C454" t="n">
        <v>7</v>
      </c>
      <c r="D454" t="n">
        <v>7</v>
      </c>
      <c r="E454" t="n">
        <v>1782.09</v>
      </c>
    </row>
    <row r="455">
      <c r="A455" s="19" t="n">
        <v>42979</v>
      </c>
      <c r="B455" t="inlineStr">
        <is>
          <t>art</t>
        </is>
      </c>
      <c r="C455" t="n">
        <v>3</v>
      </c>
      <c r="D455" t="n">
        <v>3</v>
      </c>
      <c r="E455" t="n">
        <v>435.85</v>
      </c>
    </row>
    <row r="456">
      <c r="A456" s="19" t="n">
        <v>42979</v>
      </c>
      <c r="B456" t="inlineStr">
        <is>
          <t>audio</t>
        </is>
      </c>
      <c r="C456" t="n">
        <v>10</v>
      </c>
      <c r="D456" t="n">
        <v>10</v>
      </c>
      <c r="E456" t="n">
        <v>1191.79</v>
      </c>
    </row>
    <row r="457">
      <c r="A457" s="19" t="n">
        <v>42979</v>
      </c>
      <c r="B457" t="inlineStr">
        <is>
          <t>auto</t>
        </is>
      </c>
      <c r="C457" t="n">
        <v>96</v>
      </c>
      <c r="D457" t="n">
        <v>107</v>
      </c>
      <c r="E457" t="n">
        <v>16486.08</v>
      </c>
    </row>
    <row r="458">
      <c r="A458" s="19" t="n">
        <v>42979</v>
      </c>
      <c r="B458" t="inlineStr">
        <is>
          <t>baby</t>
        </is>
      </c>
      <c r="C458" t="n">
        <v>161</v>
      </c>
      <c r="D458" t="n">
        <v>170</v>
      </c>
      <c r="E458" t="n">
        <v>26921.54</v>
      </c>
    </row>
    <row r="459">
      <c r="A459" s="19" t="n">
        <v>42979</v>
      </c>
      <c r="B459" t="inlineStr">
        <is>
          <t>bed_bath_table</t>
        </is>
      </c>
      <c r="C459" t="n">
        <v>456</v>
      </c>
      <c r="D459" t="n">
        <v>528</v>
      </c>
      <c r="E459" t="n">
        <v>61723.02</v>
      </c>
    </row>
    <row r="460">
      <c r="A460" s="19" t="n">
        <v>42979</v>
      </c>
      <c r="B460" t="inlineStr">
        <is>
          <t>books_general_interest</t>
        </is>
      </c>
      <c r="C460" t="n">
        <v>14</v>
      </c>
      <c r="D460" t="n">
        <v>14</v>
      </c>
      <c r="E460" t="n">
        <v>1149.77</v>
      </c>
    </row>
    <row r="461">
      <c r="A461" s="19" t="n">
        <v>42979</v>
      </c>
      <c r="B461" t="inlineStr">
        <is>
          <t>books_imported</t>
        </is>
      </c>
      <c r="C461" t="n">
        <v>3</v>
      </c>
      <c r="D461" t="n">
        <v>4</v>
      </c>
      <c r="E461" t="n">
        <v>327.56</v>
      </c>
    </row>
    <row r="462">
      <c r="A462" s="19" t="n">
        <v>42979</v>
      </c>
      <c r="B462" t="inlineStr">
        <is>
          <t>books_technical</t>
        </is>
      </c>
      <c r="C462" t="n">
        <v>8</v>
      </c>
      <c r="D462" t="n">
        <v>8</v>
      </c>
      <c r="E462" t="n">
        <v>1136.91</v>
      </c>
    </row>
    <row r="463">
      <c r="A463" s="19" t="n">
        <v>42979</v>
      </c>
      <c r="B463" t="inlineStr">
        <is>
          <t>christmas_supplies</t>
        </is>
      </c>
      <c r="C463" t="n">
        <v>3</v>
      </c>
      <c r="D463" t="n">
        <v>4</v>
      </c>
      <c r="E463" t="n">
        <v>318.28</v>
      </c>
    </row>
    <row r="464">
      <c r="A464" s="19" t="n">
        <v>42979</v>
      </c>
      <c r="B464" t="inlineStr">
        <is>
          <t>cine_photo</t>
        </is>
      </c>
      <c r="C464" t="n">
        <v>1</v>
      </c>
      <c r="D464" t="n">
        <v>1</v>
      </c>
      <c r="E464" t="n">
        <v>102.84</v>
      </c>
    </row>
    <row r="465">
      <c r="A465" s="19" t="n">
        <v>42979</v>
      </c>
      <c r="B465" t="inlineStr">
        <is>
          <t>computers</t>
        </is>
      </c>
      <c r="C465" t="n">
        <v>39</v>
      </c>
      <c r="D465" t="n">
        <v>40</v>
      </c>
      <c r="E465" t="n">
        <v>52948.15</v>
      </c>
    </row>
    <row r="466">
      <c r="A466" s="19" t="n">
        <v>42979</v>
      </c>
      <c r="B466" t="inlineStr">
        <is>
          <t>computers_accessories</t>
        </is>
      </c>
      <c r="C466" t="n">
        <v>211</v>
      </c>
      <c r="D466" t="n">
        <v>247</v>
      </c>
      <c r="E466" t="n">
        <v>32972.21</v>
      </c>
    </row>
    <row r="467">
      <c r="A467" s="19" t="n">
        <v>42979</v>
      </c>
      <c r="B467" t="inlineStr">
        <is>
          <t>consoles_games</t>
        </is>
      </c>
      <c r="C467" t="n">
        <v>58</v>
      </c>
      <c r="D467" t="n">
        <v>63</v>
      </c>
      <c r="E467" t="n">
        <v>9214.379999999999</v>
      </c>
    </row>
    <row r="468">
      <c r="A468" s="19" t="n">
        <v>42979</v>
      </c>
      <c r="B468" t="inlineStr">
        <is>
          <t>construction_tools_construction</t>
        </is>
      </c>
      <c r="C468" t="n">
        <v>7</v>
      </c>
      <c r="D468" t="n">
        <v>10</v>
      </c>
      <c r="E468" t="n">
        <v>1420.22</v>
      </c>
    </row>
    <row r="469">
      <c r="A469" s="19" t="n">
        <v>42979</v>
      </c>
      <c r="B469" t="inlineStr">
        <is>
          <t>construction_tools_lights</t>
        </is>
      </c>
      <c r="C469" t="n">
        <v>1</v>
      </c>
      <c r="D469" t="n">
        <v>1</v>
      </c>
      <c r="E469" t="n">
        <v>258.98</v>
      </c>
    </row>
    <row r="470">
      <c r="A470" s="19" t="n">
        <v>42979</v>
      </c>
      <c r="B470" t="inlineStr">
        <is>
          <t>construction_tools_safety</t>
        </is>
      </c>
      <c r="C470" t="n">
        <v>4</v>
      </c>
      <c r="D470" t="n">
        <v>5</v>
      </c>
      <c r="E470" t="n">
        <v>1202.29</v>
      </c>
    </row>
    <row r="471">
      <c r="A471" s="19" t="n">
        <v>42979</v>
      </c>
      <c r="B471" t="inlineStr">
        <is>
          <t>cool_stuff</t>
        </is>
      </c>
      <c r="C471" t="n">
        <v>196</v>
      </c>
      <c r="D471" t="n">
        <v>203</v>
      </c>
      <c r="E471" t="n">
        <v>42359.55</v>
      </c>
    </row>
    <row r="472">
      <c r="A472" s="19" t="n">
        <v>42979</v>
      </c>
      <c r="B472" t="inlineStr">
        <is>
          <t>costruction_tools_garden</t>
        </is>
      </c>
      <c r="C472" t="n">
        <v>4</v>
      </c>
      <c r="D472" t="n">
        <v>5</v>
      </c>
      <c r="E472" t="n">
        <v>338.97</v>
      </c>
    </row>
    <row r="473">
      <c r="A473" s="19" t="n">
        <v>42979</v>
      </c>
      <c r="B473" t="inlineStr">
        <is>
          <t>costruction_tools_tools</t>
        </is>
      </c>
      <c r="C473" t="n">
        <v>3</v>
      </c>
      <c r="D473" t="n">
        <v>3</v>
      </c>
      <c r="E473" t="n">
        <v>976.0799999999999</v>
      </c>
    </row>
    <row r="474">
      <c r="A474" s="19" t="n">
        <v>42979</v>
      </c>
      <c r="B474" t="inlineStr">
        <is>
          <t>drinks</t>
        </is>
      </c>
      <c r="C474" t="n">
        <v>5</v>
      </c>
      <c r="D474" t="n">
        <v>6</v>
      </c>
      <c r="E474" t="n">
        <v>314.43</v>
      </c>
    </row>
    <row r="475">
      <c r="A475" s="19" t="n">
        <v>42979</v>
      </c>
      <c r="B475" t="inlineStr">
        <is>
          <t>dvds_blu_ray</t>
        </is>
      </c>
      <c r="C475" t="n">
        <v>2</v>
      </c>
      <c r="D475" t="n">
        <v>2</v>
      </c>
      <c r="E475" t="n">
        <v>91.06</v>
      </c>
    </row>
    <row r="476">
      <c r="A476" s="19" t="n">
        <v>42979</v>
      </c>
      <c r="B476" t="inlineStr">
        <is>
          <t>electronics</t>
        </is>
      </c>
      <c r="C476" t="n">
        <v>65</v>
      </c>
      <c r="D476" t="n">
        <v>67</v>
      </c>
      <c r="E476" t="n">
        <v>5557.35</v>
      </c>
    </row>
    <row r="477">
      <c r="A477" s="19" t="n">
        <v>42979</v>
      </c>
      <c r="B477" t="inlineStr">
        <is>
          <t>fashio_female_clothing</t>
        </is>
      </c>
      <c r="C477" t="n">
        <v>3</v>
      </c>
      <c r="D477" t="n">
        <v>4</v>
      </c>
      <c r="E477" t="n">
        <v>430.31</v>
      </c>
    </row>
    <row r="478">
      <c r="A478" s="19" t="n">
        <v>42979</v>
      </c>
      <c r="B478" t="inlineStr">
        <is>
          <t>fashion_bags_accessories</t>
        </is>
      </c>
      <c r="C478" t="n">
        <v>101</v>
      </c>
      <c r="D478" t="n">
        <v>122</v>
      </c>
      <c r="E478" t="n">
        <v>13768.13</v>
      </c>
    </row>
    <row r="479">
      <c r="A479" s="19" t="n">
        <v>42979</v>
      </c>
      <c r="B479" t="inlineStr">
        <is>
          <t>fashion_childrens_clothes</t>
        </is>
      </c>
      <c r="C479" t="n">
        <v>1</v>
      </c>
      <c r="D479" t="n">
        <v>1</v>
      </c>
      <c r="E479" t="n">
        <v>107.06</v>
      </c>
    </row>
    <row r="480">
      <c r="A480" s="19" t="n">
        <v>42979</v>
      </c>
      <c r="B480" t="inlineStr">
        <is>
          <t>fashion_male_clothing</t>
        </is>
      </c>
      <c r="C480" t="n">
        <v>10</v>
      </c>
      <c r="D480" t="n">
        <v>16</v>
      </c>
      <c r="E480" t="n">
        <v>1388.19</v>
      </c>
    </row>
    <row r="481">
      <c r="A481" s="19" t="n">
        <v>42979</v>
      </c>
      <c r="B481" t="inlineStr">
        <is>
          <t>fashion_shoes</t>
        </is>
      </c>
      <c r="C481" t="n">
        <v>12</v>
      </c>
      <c r="D481" t="n">
        <v>13</v>
      </c>
      <c r="E481" t="n">
        <v>1349.49</v>
      </c>
    </row>
    <row r="482">
      <c r="A482" s="19" t="n">
        <v>42979</v>
      </c>
      <c r="B482" t="inlineStr">
        <is>
          <t>fashion_sport</t>
        </is>
      </c>
      <c r="C482" t="n">
        <v>2</v>
      </c>
      <c r="D482" t="n">
        <v>5</v>
      </c>
      <c r="E482" t="n">
        <v>500.82</v>
      </c>
    </row>
    <row r="483">
      <c r="A483" s="19" t="n">
        <v>42979</v>
      </c>
      <c r="B483" t="inlineStr">
        <is>
          <t>fashion_underwear_beach</t>
        </is>
      </c>
      <c r="C483" t="n">
        <v>14</v>
      </c>
      <c r="D483" t="n">
        <v>16</v>
      </c>
      <c r="E483" t="n">
        <v>1858.18</v>
      </c>
    </row>
    <row r="484">
      <c r="A484" s="19" t="n">
        <v>42979</v>
      </c>
      <c r="B484" t="inlineStr">
        <is>
          <t>fixed_telephony</t>
        </is>
      </c>
      <c r="C484" t="n">
        <v>6</v>
      </c>
      <c r="D484" t="n">
        <v>13</v>
      </c>
      <c r="E484" t="n">
        <v>13990.19</v>
      </c>
    </row>
    <row r="485">
      <c r="A485" s="19" t="n">
        <v>42979</v>
      </c>
      <c r="B485" t="inlineStr">
        <is>
          <t>food</t>
        </is>
      </c>
      <c r="C485" t="n">
        <v>13</v>
      </c>
      <c r="D485" t="n">
        <v>17</v>
      </c>
      <c r="E485" t="n">
        <v>1239.2</v>
      </c>
    </row>
    <row r="486">
      <c r="A486" s="19" t="n">
        <v>42979</v>
      </c>
      <c r="B486" t="inlineStr">
        <is>
          <t>food_drink</t>
        </is>
      </c>
      <c r="C486" t="n">
        <v>6</v>
      </c>
      <c r="D486" t="n">
        <v>9</v>
      </c>
      <c r="E486" t="n">
        <v>444.78</v>
      </c>
    </row>
    <row r="487">
      <c r="A487" s="19" t="n">
        <v>42979</v>
      </c>
      <c r="B487" t="inlineStr">
        <is>
          <t>furniture_bedroom</t>
        </is>
      </c>
      <c r="C487" t="n">
        <v>3</v>
      </c>
      <c r="D487" t="n">
        <v>4</v>
      </c>
      <c r="E487" t="n">
        <v>923.98</v>
      </c>
    </row>
    <row r="488">
      <c r="A488" s="19" t="n">
        <v>42979</v>
      </c>
      <c r="B488" t="inlineStr">
        <is>
          <t>furniture_decor</t>
        </is>
      </c>
      <c r="C488" t="n">
        <v>270</v>
      </c>
      <c r="D488" t="n">
        <v>343</v>
      </c>
      <c r="E488" t="n">
        <v>37871.81</v>
      </c>
    </row>
    <row r="489">
      <c r="A489" s="19" t="n">
        <v>42979</v>
      </c>
      <c r="B489" t="inlineStr">
        <is>
          <t>furniture_living_room</t>
        </is>
      </c>
      <c r="C489" t="n">
        <v>11</v>
      </c>
      <c r="D489" t="n">
        <v>11</v>
      </c>
      <c r="E489" t="n">
        <v>1562.83</v>
      </c>
    </row>
    <row r="490">
      <c r="A490" s="19" t="n">
        <v>42979</v>
      </c>
      <c r="B490" t="inlineStr">
        <is>
          <t>furniture_mattress_and_upholstery</t>
        </is>
      </c>
      <c r="C490" t="n">
        <v>1</v>
      </c>
      <c r="D490" t="n">
        <v>1</v>
      </c>
      <c r="E490" t="n">
        <v>133.82</v>
      </c>
    </row>
    <row r="491">
      <c r="A491" s="19" t="n">
        <v>42979</v>
      </c>
      <c r="B491" t="inlineStr">
        <is>
          <t>garden_tools</t>
        </is>
      </c>
      <c r="C491" t="n">
        <v>176</v>
      </c>
      <c r="D491" t="n">
        <v>222</v>
      </c>
      <c r="E491" t="n">
        <v>26762.14</v>
      </c>
    </row>
    <row r="492">
      <c r="A492" s="19" t="n">
        <v>42979</v>
      </c>
      <c r="B492" t="inlineStr">
        <is>
          <t>health_beauty</t>
        </is>
      </c>
      <c r="C492" t="n">
        <v>356</v>
      </c>
      <c r="D492" t="n">
        <v>376</v>
      </c>
      <c r="E492" t="n">
        <v>58123.19</v>
      </c>
    </row>
    <row r="493">
      <c r="A493" s="19" t="n">
        <v>42979</v>
      </c>
      <c r="B493" t="inlineStr">
        <is>
          <t>home_appliances</t>
        </is>
      </c>
      <c r="C493" t="n">
        <v>10</v>
      </c>
      <c r="D493" t="n">
        <v>10</v>
      </c>
      <c r="E493" t="n">
        <v>2197.28</v>
      </c>
    </row>
    <row r="494">
      <c r="A494" s="19" t="n">
        <v>42979</v>
      </c>
      <c r="B494" t="inlineStr">
        <is>
          <t>home_appliances_2</t>
        </is>
      </c>
      <c r="C494" t="n">
        <v>6</v>
      </c>
      <c r="D494" t="n">
        <v>6</v>
      </c>
      <c r="E494" t="n">
        <v>1928.62</v>
      </c>
    </row>
    <row r="495">
      <c r="A495" s="19" t="n">
        <v>42979</v>
      </c>
      <c r="B495" t="inlineStr">
        <is>
          <t>home_comfort_2</t>
        </is>
      </c>
      <c r="C495" t="n">
        <v>1</v>
      </c>
      <c r="D495" t="n">
        <v>1</v>
      </c>
      <c r="E495" t="n">
        <v>29.69</v>
      </c>
    </row>
    <row r="496">
      <c r="A496" s="19" t="n">
        <v>42979</v>
      </c>
      <c r="B496" t="inlineStr">
        <is>
          <t>home_confort</t>
        </is>
      </c>
      <c r="C496" t="n">
        <v>26</v>
      </c>
      <c r="D496" t="n">
        <v>33</v>
      </c>
      <c r="E496" t="n">
        <v>5273.36</v>
      </c>
    </row>
    <row r="497">
      <c r="A497" s="19" t="n">
        <v>42979</v>
      </c>
      <c r="B497" t="inlineStr">
        <is>
          <t>home_construction</t>
        </is>
      </c>
      <c r="C497" t="n">
        <v>9</v>
      </c>
      <c r="D497" t="n">
        <v>11</v>
      </c>
      <c r="E497" t="n">
        <v>1759.36</v>
      </c>
    </row>
    <row r="498">
      <c r="A498" s="19" t="n">
        <v>42979</v>
      </c>
      <c r="B498" t="inlineStr">
        <is>
          <t>housewares</t>
        </is>
      </c>
      <c r="C498" t="n">
        <v>217</v>
      </c>
      <c r="D498" t="n">
        <v>249</v>
      </c>
      <c r="E498" t="n">
        <v>24648.35</v>
      </c>
    </row>
    <row r="499">
      <c r="A499" s="19" t="n">
        <v>42979</v>
      </c>
      <c r="B499" t="inlineStr">
        <is>
          <t>industry_commerce_and_business</t>
        </is>
      </c>
      <c r="C499" t="n">
        <v>2</v>
      </c>
      <c r="D499" t="n">
        <v>2</v>
      </c>
      <c r="E499" t="n">
        <v>251.71</v>
      </c>
    </row>
    <row r="500">
      <c r="A500" s="19" t="n">
        <v>42979</v>
      </c>
      <c r="B500" t="inlineStr">
        <is>
          <t>kitchen_dining_laundry_garden_furniture</t>
        </is>
      </c>
      <c r="C500" t="n">
        <v>4</v>
      </c>
      <c r="D500" t="n">
        <v>4</v>
      </c>
      <c r="E500" t="n">
        <v>527.88</v>
      </c>
    </row>
    <row r="501">
      <c r="A501" s="19" t="n">
        <v>42979</v>
      </c>
      <c r="B501" t="inlineStr">
        <is>
          <t>luggage_accessories</t>
        </is>
      </c>
      <c r="C501" t="n">
        <v>41</v>
      </c>
      <c r="D501" t="n">
        <v>42</v>
      </c>
      <c r="E501" t="n">
        <v>4859.690000000001</v>
      </c>
    </row>
    <row r="502">
      <c r="A502" s="19" t="n">
        <v>42979</v>
      </c>
      <c r="B502" t="inlineStr">
        <is>
          <t>market_place</t>
        </is>
      </c>
      <c r="C502" t="n">
        <v>11</v>
      </c>
      <c r="D502" t="n">
        <v>11</v>
      </c>
      <c r="E502" t="n">
        <v>1349.62</v>
      </c>
    </row>
    <row r="503">
      <c r="A503" s="19" t="n">
        <v>42979</v>
      </c>
      <c r="B503" t="inlineStr">
        <is>
          <t>musical_instruments</t>
        </is>
      </c>
      <c r="C503" t="n">
        <v>22</v>
      </c>
      <c r="D503" t="n">
        <v>26</v>
      </c>
      <c r="E503" t="n">
        <v>9149.880000000001</v>
      </c>
    </row>
    <row r="504">
      <c r="A504" s="19" t="n">
        <v>42979</v>
      </c>
      <c r="B504" t="inlineStr">
        <is>
          <t>office_furniture</t>
        </is>
      </c>
      <c r="C504" t="n">
        <v>36</v>
      </c>
      <c r="D504" t="n">
        <v>60</v>
      </c>
      <c r="E504" t="n">
        <v>11401.99</v>
      </c>
    </row>
    <row r="505">
      <c r="A505" s="19" t="n">
        <v>42979</v>
      </c>
      <c r="B505" t="inlineStr">
        <is>
          <t>party_supplies</t>
        </is>
      </c>
      <c r="C505" t="n">
        <v>1</v>
      </c>
      <c r="D505" t="n">
        <v>2</v>
      </c>
      <c r="E505" t="n">
        <v>303.2</v>
      </c>
    </row>
    <row r="506">
      <c r="A506" s="19" t="n">
        <v>42979</v>
      </c>
      <c r="B506" t="inlineStr">
        <is>
          <t>perfumery</t>
        </is>
      </c>
      <c r="C506" t="n">
        <v>135</v>
      </c>
      <c r="D506" t="n">
        <v>153</v>
      </c>
      <c r="E506" t="n">
        <v>16265.38</v>
      </c>
    </row>
    <row r="507">
      <c r="A507" s="19" t="n">
        <v>42979</v>
      </c>
      <c r="B507" t="inlineStr">
        <is>
          <t>pet_shop</t>
        </is>
      </c>
      <c r="C507" t="n">
        <v>62</v>
      </c>
      <c r="D507" t="n">
        <v>71</v>
      </c>
      <c r="E507" t="n">
        <v>9875.16</v>
      </c>
    </row>
    <row r="508">
      <c r="A508" s="19" t="n">
        <v>42979</v>
      </c>
      <c r="B508" t="inlineStr">
        <is>
          <t>security_and_services</t>
        </is>
      </c>
      <c r="C508" t="n">
        <v>1</v>
      </c>
      <c r="D508" t="n">
        <v>1</v>
      </c>
      <c r="E508" t="n">
        <v>115.45</v>
      </c>
    </row>
    <row r="509">
      <c r="A509" s="19" t="n">
        <v>42979</v>
      </c>
      <c r="B509" t="inlineStr">
        <is>
          <t>signaling_and_security</t>
        </is>
      </c>
      <c r="C509" t="n">
        <v>5</v>
      </c>
      <c r="D509" t="n">
        <v>9</v>
      </c>
      <c r="E509" t="n">
        <v>536.55</v>
      </c>
    </row>
    <row r="510">
      <c r="A510" s="19" t="n">
        <v>42979</v>
      </c>
      <c r="B510" t="inlineStr">
        <is>
          <t>small_appliances</t>
        </is>
      </c>
      <c r="C510" t="n">
        <v>29</v>
      </c>
      <c r="D510" t="n">
        <v>30</v>
      </c>
      <c r="E510" t="n">
        <v>10913.08</v>
      </c>
    </row>
    <row r="511">
      <c r="A511" s="19" t="n">
        <v>42979</v>
      </c>
      <c r="B511" t="inlineStr">
        <is>
          <t>small_appliances_home_oven_and_coffee</t>
        </is>
      </c>
      <c r="C511" t="n">
        <v>1</v>
      </c>
      <c r="D511" t="n">
        <v>1</v>
      </c>
      <c r="E511" t="n">
        <v>673.47</v>
      </c>
    </row>
    <row r="512">
      <c r="A512" s="19" t="n">
        <v>42979</v>
      </c>
      <c r="B512" t="inlineStr">
        <is>
          <t>sports_leisure</t>
        </is>
      </c>
      <c r="C512" t="n">
        <v>408</v>
      </c>
      <c r="D512" t="n">
        <v>453</v>
      </c>
      <c r="E512" t="n">
        <v>57463.77</v>
      </c>
    </row>
    <row r="513">
      <c r="A513" s="19" t="n">
        <v>42979</v>
      </c>
      <c r="B513" t="inlineStr">
        <is>
          <t>stationery</t>
        </is>
      </c>
      <c r="C513" t="n">
        <v>69</v>
      </c>
      <c r="D513" t="n">
        <v>75</v>
      </c>
      <c r="E513" t="n">
        <v>7202.08</v>
      </c>
    </row>
    <row r="514">
      <c r="A514" s="19" t="n">
        <v>42979</v>
      </c>
      <c r="B514" t="inlineStr">
        <is>
          <t>tablets_printing_image</t>
        </is>
      </c>
      <c r="C514" t="n">
        <v>3</v>
      </c>
      <c r="D514" t="n">
        <v>3</v>
      </c>
      <c r="E514" t="n">
        <v>279.88</v>
      </c>
    </row>
    <row r="515">
      <c r="A515" s="19" t="n">
        <v>42979</v>
      </c>
      <c r="B515" t="inlineStr">
        <is>
          <t>telephony</t>
        </is>
      </c>
      <c r="C515" t="n">
        <v>160</v>
      </c>
      <c r="D515" t="n">
        <v>173</v>
      </c>
      <c r="E515" t="n">
        <v>21184.66</v>
      </c>
    </row>
    <row r="516">
      <c r="A516" s="19" t="n">
        <v>42979</v>
      </c>
      <c r="B516" t="inlineStr">
        <is>
          <t>toys</t>
        </is>
      </c>
      <c r="C516" t="n">
        <v>265</v>
      </c>
      <c r="D516" t="n">
        <v>289</v>
      </c>
      <c r="E516" t="n">
        <v>35017.41</v>
      </c>
    </row>
    <row r="517">
      <c r="A517" s="19" t="n">
        <v>42979</v>
      </c>
      <c r="B517" t="inlineStr">
        <is>
          <t>unknown</t>
        </is>
      </c>
      <c r="C517" t="n">
        <v>61</v>
      </c>
      <c r="D517" t="n">
        <v>73</v>
      </c>
      <c r="E517" t="n">
        <v>7073.87</v>
      </c>
    </row>
    <row r="518">
      <c r="A518" s="19" t="n">
        <v>42979</v>
      </c>
      <c r="B518" t="inlineStr">
        <is>
          <t>watches_gifts</t>
        </is>
      </c>
      <c r="C518" t="n">
        <v>251</v>
      </c>
      <c r="D518" t="n">
        <v>264</v>
      </c>
      <c r="E518" t="n">
        <v>48992.89</v>
      </c>
    </row>
    <row r="519">
      <c r="A519" s="19" t="n">
        <v>43009</v>
      </c>
      <c r="B519" t="inlineStr">
        <is>
          <t>agro_industry_and_commerce</t>
        </is>
      </c>
      <c r="C519" t="n">
        <v>5</v>
      </c>
      <c r="D519" t="n">
        <v>5</v>
      </c>
      <c r="E519" t="n">
        <v>3558.43</v>
      </c>
    </row>
    <row r="520">
      <c r="A520" s="19" t="n">
        <v>43009</v>
      </c>
      <c r="B520" t="inlineStr">
        <is>
          <t>air_conditioning</t>
        </is>
      </c>
      <c r="C520" t="n">
        <v>9</v>
      </c>
      <c r="D520" t="n">
        <v>12</v>
      </c>
      <c r="E520" t="n">
        <v>2869.9</v>
      </c>
    </row>
    <row r="521">
      <c r="A521" s="19" t="n">
        <v>43009</v>
      </c>
      <c r="B521" t="inlineStr">
        <is>
          <t>art</t>
        </is>
      </c>
      <c r="C521" t="n">
        <v>3</v>
      </c>
      <c r="D521" t="n">
        <v>3</v>
      </c>
      <c r="E521" t="n">
        <v>400.45</v>
      </c>
    </row>
    <row r="522">
      <c r="A522" s="19" t="n">
        <v>43009</v>
      </c>
      <c r="B522" t="inlineStr">
        <is>
          <t>audio</t>
        </is>
      </c>
      <c r="C522" t="n">
        <v>31</v>
      </c>
      <c r="D522" t="n">
        <v>31</v>
      </c>
      <c r="E522" t="n">
        <v>2701.05</v>
      </c>
    </row>
    <row r="523">
      <c r="A523" s="19" t="n">
        <v>43009</v>
      </c>
      <c r="B523" t="inlineStr">
        <is>
          <t>auto</t>
        </is>
      </c>
      <c r="C523" t="n">
        <v>130</v>
      </c>
      <c r="D523" t="n">
        <v>148</v>
      </c>
      <c r="E523" t="n">
        <v>24822.67</v>
      </c>
    </row>
    <row r="524">
      <c r="A524" s="19" t="n">
        <v>43009</v>
      </c>
      <c r="B524" t="inlineStr">
        <is>
          <t>baby</t>
        </is>
      </c>
      <c r="C524" t="n">
        <v>134</v>
      </c>
      <c r="D524" t="n">
        <v>138</v>
      </c>
      <c r="E524" t="n">
        <v>19625.73</v>
      </c>
    </row>
    <row r="525">
      <c r="A525" s="19" t="n">
        <v>43009</v>
      </c>
      <c r="B525" t="inlineStr">
        <is>
          <t>bed_bath_table</t>
        </is>
      </c>
      <c r="C525" t="n">
        <v>442</v>
      </c>
      <c r="D525" t="n">
        <v>542</v>
      </c>
      <c r="E525" t="n">
        <v>55209.9</v>
      </c>
    </row>
    <row r="526">
      <c r="A526" s="19" t="n">
        <v>43009</v>
      </c>
      <c r="B526" t="inlineStr">
        <is>
          <t>books_general_interest</t>
        </is>
      </c>
      <c r="C526" t="n">
        <v>8</v>
      </c>
      <c r="D526" t="n">
        <v>11</v>
      </c>
      <c r="E526" t="n">
        <v>929.87</v>
      </c>
    </row>
    <row r="527">
      <c r="A527" s="19" t="n">
        <v>43009</v>
      </c>
      <c r="B527" t="inlineStr">
        <is>
          <t>books_technical</t>
        </is>
      </c>
      <c r="C527" t="n">
        <v>6</v>
      </c>
      <c r="D527" t="n">
        <v>6</v>
      </c>
      <c r="E527" t="n">
        <v>988.25</v>
      </c>
    </row>
    <row r="528">
      <c r="A528" s="19" t="n">
        <v>43009</v>
      </c>
      <c r="B528" t="inlineStr">
        <is>
          <t>cds_dvds_musicals</t>
        </is>
      </c>
      <c r="C528" t="n">
        <v>1</v>
      </c>
      <c r="D528" t="n">
        <v>1</v>
      </c>
      <c r="E528" t="n">
        <v>61.11</v>
      </c>
    </row>
    <row r="529">
      <c r="A529" s="19" t="n">
        <v>43009</v>
      </c>
      <c r="B529" t="inlineStr">
        <is>
          <t>christmas_supplies</t>
        </is>
      </c>
      <c r="C529" t="n">
        <v>7</v>
      </c>
      <c r="D529" t="n">
        <v>12</v>
      </c>
      <c r="E529" t="n">
        <v>531.24</v>
      </c>
    </row>
    <row r="530">
      <c r="A530" s="19" t="n">
        <v>43009</v>
      </c>
      <c r="B530" t="inlineStr">
        <is>
          <t>cine_photo</t>
        </is>
      </c>
      <c r="C530" t="n">
        <v>1</v>
      </c>
      <c r="D530" t="n">
        <v>1</v>
      </c>
      <c r="E530" t="n">
        <v>107</v>
      </c>
    </row>
    <row r="531">
      <c r="A531" s="19" t="n">
        <v>43009</v>
      </c>
      <c r="B531" t="inlineStr">
        <is>
          <t>computers</t>
        </is>
      </c>
      <c r="C531" t="n">
        <v>26</v>
      </c>
      <c r="D531" t="n">
        <v>27</v>
      </c>
      <c r="E531" t="n">
        <v>41683.94</v>
      </c>
    </row>
    <row r="532">
      <c r="A532" s="19" t="n">
        <v>43009</v>
      </c>
      <c r="B532" t="inlineStr">
        <is>
          <t>computers_accessories</t>
        </is>
      </c>
      <c r="C532" t="n">
        <v>253</v>
      </c>
      <c r="D532" t="n">
        <v>309</v>
      </c>
      <c r="E532" t="n">
        <v>48090.44</v>
      </c>
    </row>
    <row r="533">
      <c r="A533" s="19" t="n">
        <v>43009</v>
      </c>
      <c r="B533" t="inlineStr">
        <is>
          <t>consoles_games</t>
        </is>
      </c>
      <c r="C533" t="n">
        <v>99</v>
      </c>
      <c r="D533" t="n">
        <v>105</v>
      </c>
      <c r="E533" t="n">
        <v>12031.01</v>
      </c>
    </row>
    <row r="534">
      <c r="A534" s="19" t="n">
        <v>43009</v>
      </c>
      <c r="B534" t="inlineStr">
        <is>
          <t>construction_tools_construction</t>
        </is>
      </c>
      <c r="C534" t="n">
        <v>15</v>
      </c>
      <c r="D534" t="n">
        <v>19</v>
      </c>
      <c r="E534" t="n">
        <v>3024.83</v>
      </c>
    </row>
    <row r="535">
      <c r="A535" s="19" t="n">
        <v>43009</v>
      </c>
      <c r="B535" t="inlineStr">
        <is>
          <t>construction_tools_lights</t>
        </is>
      </c>
      <c r="C535" t="n">
        <v>2</v>
      </c>
      <c r="D535" t="n">
        <v>2</v>
      </c>
      <c r="E535" t="n">
        <v>651.0999999999999</v>
      </c>
    </row>
    <row r="536">
      <c r="A536" s="19" t="n">
        <v>43009</v>
      </c>
      <c r="B536" t="inlineStr">
        <is>
          <t>construction_tools_safety</t>
        </is>
      </c>
      <c r="C536" t="n">
        <v>9</v>
      </c>
      <c r="D536" t="n">
        <v>12</v>
      </c>
      <c r="E536" t="n">
        <v>1918.55</v>
      </c>
    </row>
    <row r="537">
      <c r="A537" s="19" t="n">
        <v>43009</v>
      </c>
      <c r="B537" t="inlineStr">
        <is>
          <t>cool_stuff</t>
        </is>
      </c>
      <c r="C537" t="n">
        <v>242</v>
      </c>
      <c r="D537" t="n">
        <v>254</v>
      </c>
      <c r="E537" t="n">
        <v>50525.41</v>
      </c>
    </row>
    <row r="538">
      <c r="A538" s="19" t="n">
        <v>43009</v>
      </c>
      <c r="B538" t="inlineStr">
        <is>
          <t>costruction_tools_garden</t>
        </is>
      </c>
      <c r="C538" t="n">
        <v>8</v>
      </c>
      <c r="D538" t="n">
        <v>9</v>
      </c>
      <c r="E538" t="n">
        <v>888.16</v>
      </c>
    </row>
    <row r="539">
      <c r="A539" s="19" t="n">
        <v>43009</v>
      </c>
      <c r="B539" t="inlineStr">
        <is>
          <t>costruction_tools_tools</t>
        </is>
      </c>
      <c r="C539" t="n">
        <v>5</v>
      </c>
      <c r="D539" t="n">
        <v>5</v>
      </c>
      <c r="E539" t="n">
        <v>1119.96</v>
      </c>
    </row>
    <row r="540">
      <c r="A540" s="19" t="n">
        <v>43009</v>
      </c>
      <c r="B540" t="inlineStr">
        <is>
          <t>drinks</t>
        </is>
      </c>
      <c r="C540" t="n">
        <v>10</v>
      </c>
      <c r="D540" t="n">
        <v>12</v>
      </c>
      <c r="E540" t="n">
        <v>752.72</v>
      </c>
    </row>
    <row r="541">
      <c r="A541" s="19" t="n">
        <v>43009</v>
      </c>
      <c r="B541" t="inlineStr">
        <is>
          <t>dvds_blu_ray</t>
        </is>
      </c>
      <c r="C541" t="n">
        <v>4</v>
      </c>
      <c r="D541" t="n">
        <v>4</v>
      </c>
      <c r="E541" t="n">
        <v>269.1</v>
      </c>
    </row>
    <row r="542">
      <c r="A542" s="19" t="n">
        <v>43009</v>
      </c>
      <c r="B542" t="inlineStr">
        <is>
          <t>electronics</t>
        </is>
      </c>
      <c r="C542" t="n">
        <v>55</v>
      </c>
      <c r="D542" t="n">
        <v>62</v>
      </c>
      <c r="E542" t="n">
        <v>4467.93</v>
      </c>
    </row>
    <row r="543">
      <c r="A543" s="19" t="n">
        <v>43009</v>
      </c>
      <c r="B543" t="inlineStr">
        <is>
          <t>fashion_bags_accessories</t>
        </is>
      </c>
      <c r="C543" t="n">
        <v>93</v>
      </c>
      <c r="D543" t="n">
        <v>108</v>
      </c>
      <c r="E543" t="n">
        <v>9180.809999999999</v>
      </c>
    </row>
    <row r="544">
      <c r="A544" s="19" t="n">
        <v>43009</v>
      </c>
      <c r="B544" t="inlineStr">
        <is>
          <t>fashion_childrens_clothes</t>
        </is>
      </c>
      <c r="C544" t="n">
        <v>1</v>
      </c>
      <c r="D544" t="n">
        <v>1</v>
      </c>
      <c r="E544" t="n">
        <v>54.09</v>
      </c>
    </row>
    <row r="545">
      <c r="A545" s="19" t="n">
        <v>43009</v>
      </c>
      <c r="B545" t="inlineStr">
        <is>
          <t>fashion_male_clothing</t>
        </is>
      </c>
      <c r="C545" t="n">
        <v>8</v>
      </c>
      <c r="D545" t="n">
        <v>10</v>
      </c>
      <c r="E545" t="n">
        <v>1117.23</v>
      </c>
    </row>
    <row r="546">
      <c r="A546" s="19" t="n">
        <v>43009</v>
      </c>
      <c r="B546" t="inlineStr">
        <is>
          <t>fashion_shoes</t>
        </is>
      </c>
      <c r="C546" t="n">
        <v>16</v>
      </c>
      <c r="D546" t="n">
        <v>18</v>
      </c>
      <c r="E546" t="n">
        <v>2194.58</v>
      </c>
    </row>
    <row r="547">
      <c r="A547" s="19" t="n">
        <v>43009</v>
      </c>
      <c r="B547" t="inlineStr">
        <is>
          <t>fashion_sport</t>
        </is>
      </c>
      <c r="C547" t="n">
        <v>1</v>
      </c>
      <c r="D547" t="n">
        <v>1</v>
      </c>
      <c r="E547" t="n">
        <v>68.62</v>
      </c>
    </row>
    <row r="548">
      <c r="A548" s="19" t="n">
        <v>43009</v>
      </c>
      <c r="B548" t="inlineStr">
        <is>
          <t>fashion_underwear_beach</t>
        </is>
      </c>
      <c r="C548" t="n">
        <v>3</v>
      </c>
      <c r="D548" t="n">
        <v>3</v>
      </c>
      <c r="E548" t="n">
        <v>222.95</v>
      </c>
    </row>
    <row r="549">
      <c r="A549" s="19" t="n">
        <v>43009</v>
      </c>
      <c r="B549" t="inlineStr">
        <is>
          <t>fixed_telephony</t>
        </is>
      </c>
      <c r="C549" t="n">
        <v>6</v>
      </c>
      <c r="D549" t="n">
        <v>7</v>
      </c>
      <c r="E549" t="n">
        <v>3906.03</v>
      </c>
    </row>
    <row r="550">
      <c r="A550" s="19" t="n">
        <v>43009</v>
      </c>
      <c r="B550" t="inlineStr">
        <is>
          <t>food</t>
        </is>
      </c>
      <c r="C550" t="n">
        <v>12</v>
      </c>
      <c r="D550" t="n">
        <v>17</v>
      </c>
      <c r="E550" t="n">
        <v>1022.42</v>
      </c>
    </row>
    <row r="551">
      <c r="A551" s="19" t="n">
        <v>43009</v>
      </c>
      <c r="B551" t="inlineStr">
        <is>
          <t>food_drink</t>
        </is>
      </c>
      <c r="C551" t="n">
        <v>15</v>
      </c>
      <c r="D551" t="n">
        <v>17</v>
      </c>
      <c r="E551" t="n">
        <v>2654.99</v>
      </c>
    </row>
    <row r="552">
      <c r="A552" s="19" t="n">
        <v>43009</v>
      </c>
      <c r="B552" t="inlineStr">
        <is>
          <t>furniture_bedroom</t>
        </is>
      </c>
      <c r="C552" t="n">
        <v>3</v>
      </c>
      <c r="D552" t="n">
        <v>3</v>
      </c>
      <c r="E552" t="n">
        <v>1099.36</v>
      </c>
    </row>
    <row r="553">
      <c r="A553" s="19" t="n">
        <v>43009</v>
      </c>
      <c r="B553" t="inlineStr">
        <is>
          <t>furniture_decor</t>
        </is>
      </c>
      <c r="C553" t="n">
        <v>266</v>
      </c>
      <c r="D553" t="n">
        <v>375</v>
      </c>
      <c r="E553" t="n">
        <v>37464.13</v>
      </c>
    </row>
    <row r="554">
      <c r="A554" s="19" t="n">
        <v>43009</v>
      </c>
      <c r="B554" t="inlineStr">
        <is>
          <t>furniture_living_room</t>
        </is>
      </c>
      <c r="C554" t="n">
        <v>13</v>
      </c>
      <c r="D554" t="n">
        <v>19</v>
      </c>
      <c r="E554" t="n">
        <v>2008.98</v>
      </c>
    </row>
    <row r="555">
      <c r="A555" s="19" t="n">
        <v>43009</v>
      </c>
      <c r="B555" t="inlineStr">
        <is>
          <t>garden_tools</t>
        </is>
      </c>
      <c r="C555" t="n">
        <v>213</v>
      </c>
      <c r="D555" t="n">
        <v>280</v>
      </c>
      <c r="E555" t="n">
        <v>32303.84</v>
      </c>
    </row>
    <row r="556">
      <c r="A556" s="19" t="n">
        <v>43009</v>
      </c>
      <c r="B556" t="inlineStr">
        <is>
          <t>health_beauty</t>
        </is>
      </c>
      <c r="C556" t="n">
        <v>322</v>
      </c>
      <c r="D556" t="n">
        <v>350</v>
      </c>
      <c r="E556" t="n">
        <v>47414.29</v>
      </c>
    </row>
    <row r="557">
      <c r="A557" s="19" t="n">
        <v>43009</v>
      </c>
      <c r="B557" t="inlineStr">
        <is>
          <t>home_appliances</t>
        </is>
      </c>
      <c r="C557" t="n">
        <v>7</v>
      </c>
      <c r="D557" t="n">
        <v>7</v>
      </c>
      <c r="E557" t="n">
        <v>2091.71</v>
      </c>
    </row>
    <row r="558">
      <c r="A558" s="19" t="n">
        <v>43009</v>
      </c>
      <c r="B558" t="inlineStr">
        <is>
          <t>home_appliances_2</t>
        </is>
      </c>
      <c r="C558" t="n">
        <v>9</v>
      </c>
      <c r="D558" t="n">
        <v>9</v>
      </c>
      <c r="E558" t="n">
        <v>2444.64</v>
      </c>
    </row>
    <row r="559">
      <c r="A559" s="19" t="n">
        <v>43009</v>
      </c>
      <c r="B559" t="inlineStr">
        <is>
          <t>home_comfort_2</t>
        </is>
      </c>
      <c r="C559" t="n">
        <v>3</v>
      </c>
      <c r="D559" t="n">
        <v>5</v>
      </c>
      <c r="E559" t="n">
        <v>140</v>
      </c>
    </row>
    <row r="560">
      <c r="A560" s="19" t="n">
        <v>43009</v>
      </c>
      <c r="B560" t="inlineStr">
        <is>
          <t>home_confort</t>
        </is>
      </c>
      <c r="C560" t="n">
        <v>26</v>
      </c>
      <c r="D560" t="n">
        <v>27</v>
      </c>
      <c r="E560" t="n">
        <v>4072.65</v>
      </c>
    </row>
    <row r="561">
      <c r="A561" s="19" t="n">
        <v>43009</v>
      </c>
      <c r="B561" t="inlineStr">
        <is>
          <t>home_construction</t>
        </is>
      </c>
      <c r="C561" t="n">
        <v>15</v>
      </c>
      <c r="D561" t="n">
        <v>18</v>
      </c>
      <c r="E561" t="n">
        <v>4752.21</v>
      </c>
    </row>
    <row r="562">
      <c r="A562" s="19" t="n">
        <v>43009</v>
      </c>
      <c r="B562" t="inlineStr">
        <is>
          <t>housewares</t>
        </is>
      </c>
      <c r="C562" t="n">
        <v>188</v>
      </c>
      <c r="D562" t="n">
        <v>229</v>
      </c>
      <c r="E562" t="n">
        <v>20080.03</v>
      </c>
    </row>
    <row r="563">
      <c r="A563" s="19" t="n">
        <v>43009</v>
      </c>
      <c r="B563" t="inlineStr">
        <is>
          <t>industry_commerce_and_business</t>
        </is>
      </c>
      <c r="C563" t="n">
        <v>5</v>
      </c>
      <c r="D563" t="n">
        <v>5</v>
      </c>
      <c r="E563" t="n">
        <v>2468.18</v>
      </c>
    </row>
    <row r="564">
      <c r="A564" s="19" t="n">
        <v>43009</v>
      </c>
      <c r="B564" t="inlineStr">
        <is>
          <t>kitchen_dining_laundry_garden_furniture</t>
        </is>
      </c>
      <c r="C564" t="n">
        <v>14</v>
      </c>
      <c r="D564" t="n">
        <v>16</v>
      </c>
      <c r="E564" t="n">
        <v>4295.41</v>
      </c>
    </row>
    <row r="565">
      <c r="A565" s="19" t="n">
        <v>43009</v>
      </c>
      <c r="B565" t="inlineStr">
        <is>
          <t>la_cuisine</t>
        </is>
      </c>
      <c r="C565" t="n">
        <v>1</v>
      </c>
      <c r="D565" t="n">
        <v>1</v>
      </c>
      <c r="E565" t="n">
        <v>160.83</v>
      </c>
    </row>
    <row r="566">
      <c r="A566" s="19" t="n">
        <v>43009</v>
      </c>
      <c r="B566" t="inlineStr">
        <is>
          <t>luggage_accessories</t>
        </is>
      </c>
      <c r="C566" t="n">
        <v>52</v>
      </c>
      <c r="D566" t="n">
        <v>56</v>
      </c>
      <c r="E566" t="n">
        <v>7717.36</v>
      </c>
    </row>
    <row r="567">
      <c r="A567" s="19" t="n">
        <v>43009</v>
      </c>
      <c r="B567" t="inlineStr">
        <is>
          <t>market_place</t>
        </is>
      </c>
      <c r="C567" t="n">
        <v>10</v>
      </c>
      <c r="D567" t="n">
        <v>11</v>
      </c>
      <c r="E567" t="n">
        <v>1178.12</v>
      </c>
    </row>
    <row r="568">
      <c r="A568" s="19" t="n">
        <v>43009</v>
      </c>
      <c r="B568" t="inlineStr">
        <is>
          <t>music</t>
        </is>
      </c>
      <c r="C568" t="n">
        <v>1</v>
      </c>
      <c r="D568" t="n">
        <v>1</v>
      </c>
      <c r="E568" t="n">
        <v>70.03</v>
      </c>
    </row>
    <row r="569">
      <c r="A569" s="19" t="n">
        <v>43009</v>
      </c>
      <c r="B569" t="inlineStr">
        <is>
          <t>musical_instruments</t>
        </is>
      </c>
      <c r="C569" t="n">
        <v>19</v>
      </c>
      <c r="D569" t="n">
        <v>19</v>
      </c>
      <c r="E569" t="n">
        <v>6765.82</v>
      </c>
    </row>
    <row r="570">
      <c r="A570" s="19" t="n">
        <v>43009</v>
      </c>
      <c r="B570" t="inlineStr">
        <is>
          <t>office_furniture</t>
        </is>
      </c>
      <c r="C570" t="n">
        <v>69</v>
      </c>
      <c r="D570" t="n">
        <v>102</v>
      </c>
      <c r="E570" t="n">
        <v>21926.23</v>
      </c>
    </row>
    <row r="571">
      <c r="A571" s="19" t="n">
        <v>43009</v>
      </c>
      <c r="B571" t="inlineStr">
        <is>
          <t>party_supplies</t>
        </is>
      </c>
      <c r="C571" t="n">
        <v>2</v>
      </c>
      <c r="D571" t="n">
        <v>2</v>
      </c>
      <c r="E571" t="n">
        <v>163.87</v>
      </c>
    </row>
    <row r="572">
      <c r="A572" s="19" t="n">
        <v>43009</v>
      </c>
      <c r="B572" t="inlineStr">
        <is>
          <t>perfumery</t>
        </is>
      </c>
      <c r="C572" t="n">
        <v>175</v>
      </c>
      <c r="D572" t="n">
        <v>187</v>
      </c>
      <c r="E572" t="n">
        <v>20032.37</v>
      </c>
    </row>
    <row r="573">
      <c r="A573" s="19" t="n">
        <v>43009</v>
      </c>
      <c r="B573" t="inlineStr">
        <is>
          <t>pet_shop</t>
        </is>
      </c>
      <c r="C573" t="n">
        <v>64</v>
      </c>
      <c r="D573" t="n">
        <v>76</v>
      </c>
      <c r="E573" t="n">
        <v>9623.98</v>
      </c>
    </row>
    <row r="574">
      <c r="A574" s="19" t="n">
        <v>43009</v>
      </c>
      <c r="B574" t="inlineStr">
        <is>
          <t>signaling_and_security</t>
        </is>
      </c>
      <c r="C574" t="n">
        <v>7</v>
      </c>
      <c r="D574" t="n">
        <v>10</v>
      </c>
      <c r="E574" t="n">
        <v>907.7</v>
      </c>
    </row>
    <row r="575">
      <c r="A575" s="19" t="n">
        <v>43009</v>
      </c>
      <c r="B575" t="inlineStr">
        <is>
          <t>small_appliances</t>
        </is>
      </c>
      <c r="C575" t="n">
        <v>30</v>
      </c>
      <c r="D575" t="n">
        <v>32</v>
      </c>
      <c r="E575" t="n">
        <v>7124.639999999999</v>
      </c>
    </row>
    <row r="576">
      <c r="A576" s="19" t="n">
        <v>43009</v>
      </c>
      <c r="B576" t="inlineStr">
        <is>
          <t>sports_leisure</t>
        </is>
      </c>
      <c r="C576" t="n">
        <v>417</v>
      </c>
      <c r="D576" t="n">
        <v>462</v>
      </c>
      <c r="E576" t="n">
        <v>56797.18</v>
      </c>
    </row>
    <row r="577">
      <c r="A577" s="19" t="n">
        <v>43009</v>
      </c>
      <c r="B577" t="inlineStr">
        <is>
          <t>stationery</t>
        </is>
      </c>
      <c r="C577" t="n">
        <v>89</v>
      </c>
      <c r="D577" t="n">
        <v>96</v>
      </c>
      <c r="E577" t="n">
        <v>9530.389999999999</v>
      </c>
    </row>
    <row r="578">
      <c r="A578" s="19" t="n">
        <v>43009</v>
      </c>
      <c r="B578" t="inlineStr">
        <is>
          <t>tablets_printing_image</t>
        </is>
      </c>
      <c r="C578" t="n">
        <v>1</v>
      </c>
      <c r="D578" t="n">
        <v>1</v>
      </c>
      <c r="E578" t="n">
        <v>111.19</v>
      </c>
    </row>
    <row r="579">
      <c r="A579" s="19" t="n">
        <v>43009</v>
      </c>
      <c r="B579" t="inlineStr">
        <is>
          <t>telephony</t>
        </is>
      </c>
      <c r="C579" t="n">
        <v>220</v>
      </c>
      <c r="D579" t="n">
        <v>244</v>
      </c>
      <c r="E579" t="n">
        <v>24617.31</v>
      </c>
    </row>
    <row r="580">
      <c r="A580" s="19" t="n">
        <v>43009</v>
      </c>
      <c r="B580" t="inlineStr">
        <is>
          <t>toys</t>
        </is>
      </c>
      <c r="C580" t="n">
        <v>272</v>
      </c>
      <c r="D580" t="n">
        <v>283</v>
      </c>
      <c r="E580" t="n">
        <v>38266.61</v>
      </c>
    </row>
    <row r="581">
      <c r="A581" s="19" t="n">
        <v>43009</v>
      </c>
      <c r="B581" t="inlineStr">
        <is>
          <t>unknown</t>
        </is>
      </c>
      <c r="C581" t="n">
        <v>58</v>
      </c>
      <c r="D581" t="n">
        <v>68</v>
      </c>
      <c r="E581" t="n">
        <v>18066.54</v>
      </c>
    </row>
    <row r="582">
      <c r="A582" s="19" t="n">
        <v>43009</v>
      </c>
      <c r="B582" t="inlineStr">
        <is>
          <t>watches_gifts</t>
        </is>
      </c>
      <c r="C582" t="n">
        <v>282</v>
      </c>
      <c r="D582" t="n">
        <v>308</v>
      </c>
      <c r="E582" t="n">
        <v>69770.94</v>
      </c>
    </row>
    <row r="583">
      <c r="A583" s="19" t="n">
        <v>43040</v>
      </c>
      <c r="B583" t="inlineStr">
        <is>
          <t>agro_industry_and_commerce</t>
        </is>
      </c>
      <c r="C583" t="n">
        <v>13</v>
      </c>
      <c r="D583" t="n">
        <v>19</v>
      </c>
      <c r="E583" t="n">
        <v>14610.32</v>
      </c>
    </row>
    <row r="584">
      <c r="A584" s="19" t="n">
        <v>43040</v>
      </c>
      <c r="B584" t="inlineStr">
        <is>
          <t>air_conditioning</t>
        </is>
      </c>
      <c r="C584" t="n">
        <v>16</v>
      </c>
      <c r="D584" t="n">
        <v>19</v>
      </c>
      <c r="E584" t="n">
        <v>4513.559999999999</v>
      </c>
    </row>
    <row r="585">
      <c r="A585" s="19" t="n">
        <v>43040</v>
      </c>
      <c r="B585" t="inlineStr">
        <is>
          <t>art</t>
        </is>
      </c>
      <c r="C585" t="n">
        <v>1</v>
      </c>
      <c r="D585" t="n">
        <v>1</v>
      </c>
      <c r="E585" t="n">
        <v>92.78</v>
      </c>
    </row>
    <row r="586">
      <c r="A586" s="19" t="n">
        <v>43040</v>
      </c>
      <c r="B586" t="inlineStr">
        <is>
          <t>audio</t>
        </is>
      </c>
      <c r="C586" t="n">
        <v>33</v>
      </c>
      <c r="D586" t="n">
        <v>36</v>
      </c>
      <c r="E586" t="n">
        <v>4195.14</v>
      </c>
    </row>
    <row r="587">
      <c r="A587" s="19" t="n">
        <v>43040</v>
      </c>
      <c r="B587" t="inlineStr">
        <is>
          <t>auto</t>
        </is>
      </c>
      <c r="C587" t="n">
        <v>242</v>
      </c>
      <c r="D587" t="n">
        <v>260</v>
      </c>
      <c r="E587" t="n">
        <v>40367.66</v>
      </c>
    </row>
    <row r="588">
      <c r="A588" s="19" t="n">
        <v>43040</v>
      </c>
      <c r="B588" t="inlineStr">
        <is>
          <t>baby</t>
        </is>
      </c>
      <c r="C588" t="n">
        <v>184</v>
      </c>
      <c r="D588" t="n">
        <v>197</v>
      </c>
      <c r="E588" t="n">
        <v>24934.41</v>
      </c>
    </row>
    <row r="589">
      <c r="A589" s="19" t="n">
        <v>43040</v>
      </c>
      <c r="B589" t="inlineStr">
        <is>
          <t>bed_bath_table</t>
        </is>
      </c>
      <c r="C589" t="n">
        <v>804</v>
      </c>
      <c r="D589" t="n">
        <v>961</v>
      </c>
      <c r="E589" t="n">
        <v>104963.58</v>
      </c>
    </row>
    <row r="590">
      <c r="A590" s="19" t="n">
        <v>43040</v>
      </c>
      <c r="B590" t="inlineStr">
        <is>
          <t>books_general_interest</t>
        </is>
      </c>
      <c r="C590" t="n">
        <v>37</v>
      </c>
      <c r="D590" t="n">
        <v>37</v>
      </c>
      <c r="E590" t="n">
        <v>3185.27</v>
      </c>
    </row>
    <row r="591">
      <c r="A591" s="19" t="n">
        <v>43040</v>
      </c>
      <c r="B591" t="inlineStr">
        <is>
          <t>books_imported</t>
        </is>
      </c>
      <c r="C591" t="n">
        <v>2</v>
      </c>
      <c r="D591" t="n">
        <v>3</v>
      </c>
      <c r="E591" t="n">
        <v>281.21</v>
      </c>
    </row>
    <row r="592">
      <c r="A592" s="19" t="n">
        <v>43040</v>
      </c>
      <c r="B592" t="inlineStr">
        <is>
          <t>books_technical</t>
        </is>
      </c>
      <c r="C592" t="n">
        <v>5</v>
      </c>
      <c r="D592" t="n">
        <v>6</v>
      </c>
      <c r="E592" t="n">
        <v>863.8199999999999</v>
      </c>
    </row>
    <row r="593">
      <c r="A593" s="19" t="n">
        <v>43040</v>
      </c>
      <c r="B593" t="inlineStr">
        <is>
          <t>cds_dvds_musicals</t>
        </is>
      </c>
      <c r="C593" t="n">
        <v>3</v>
      </c>
      <c r="D593" t="n">
        <v>3</v>
      </c>
      <c r="E593" t="n">
        <v>224.82</v>
      </c>
    </row>
    <row r="594">
      <c r="A594" s="19" t="n">
        <v>43040</v>
      </c>
      <c r="B594" t="inlineStr">
        <is>
          <t>christmas_supplies</t>
        </is>
      </c>
      <c r="C594" t="n">
        <v>18</v>
      </c>
      <c r="D594" t="n">
        <v>22</v>
      </c>
      <c r="E594" t="n">
        <v>1740.96</v>
      </c>
    </row>
    <row r="595">
      <c r="A595" s="19" t="n">
        <v>43040</v>
      </c>
      <c r="B595" t="inlineStr">
        <is>
          <t>cine_photo</t>
        </is>
      </c>
      <c r="C595" t="n">
        <v>1</v>
      </c>
      <c r="D595" t="n">
        <v>1</v>
      </c>
      <c r="E595" t="n">
        <v>259.94</v>
      </c>
    </row>
    <row r="596">
      <c r="A596" s="19" t="n">
        <v>43040</v>
      </c>
      <c r="B596" t="inlineStr">
        <is>
          <t>computers</t>
        </is>
      </c>
      <c r="C596" t="n">
        <v>7</v>
      </c>
      <c r="D596" t="n">
        <v>7</v>
      </c>
      <c r="E596" t="n">
        <v>10060.4</v>
      </c>
    </row>
    <row r="597">
      <c r="A597" s="19" t="n">
        <v>43040</v>
      </c>
      <c r="B597" t="inlineStr">
        <is>
          <t>computers_accessories</t>
        </is>
      </c>
      <c r="C597" t="n">
        <v>431</v>
      </c>
      <c r="D597" t="n">
        <v>512</v>
      </c>
      <c r="E597" t="n">
        <v>79910.92999999999</v>
      </c>
    </row>
    <row r="598">
      <c r="A598" s="19" t="n">
        <v>43040</v>
      </c>
      <c r="B598" t="inlineStr">
        <is>
          <t>consoles_games</t>
        </is>
      </c>
      <c r="C598" t="n">
        <v>123</v>
      </c>
      <c r="D598" t="n">
        <v>128</v>
      </c>
      <c r="E598" t="n">
        <v>13872.76</v>
      </c>
    </row>
    <row r="599">
      <c r="A599" s="19" t="n">
        <v>43040</v>
      </c>
      <c r="B599" t="inlineStr">
        <is>
          <t>construction_tools_construction</t>
        </is>
      </c>
      <c r="C599" t="n">
        <v>36</v>
      </c>
      <c r="D599" t="n">
        <v>47</v>
      </c>
      <c r="E599" t="n">
        <v>8596.289999999999</v>
      </c>
    </row>
    <row r="600">
      <c r="A600" s="19" t="n">
        <v>43040</v>
      </c>
      <c r="B600" t="inlineStr">
        <is>
          <t>construction_tools_lights</t>
        </is>
      </c>
      <c r="C600" t="n">
        <v>9</v>
      </c>
      <c r="D600" t="n">
        <v>10</v>
      </c>
      <c r="E600" t="n">
        <v>2606.99</v>
      </c>
    </row>
    <row r="601">
      <c r="A601" s="19" t="n">
        <v>43040</v>
      </c>
      <c r="B601" t="inlineStr">
        <is>
          <t>construction_tools_safety</t>
        </is>
      </c>
      <c r="C601" t="n">
        <v>12</v>
      </c>
      <c r="D601" t="n">
        <v>14</v>
      </c>
      <c r="E601" t="n">
        <v>3507.71</v>
      </c>
    </row>
    <row r="602">
      <c r="A602" s="19" t="n">
        <v>43040</v>
      </c>
      <c r="B602" t="inlineStr">
        <is>
          <t>cool_stuff</t>
        </is>
      </c>
      <c r="C602" t="n">
        <v>286</v>
      </c>
      <c r="D602" t="n">
        <v>297</v>
      </c>
      <c r="E602" t="n">
        <v>62263.06</v>
      </c>
    </row>
    <row r="603">
      <c r="A603" s="19" t="n">
        <v>43040</v>
      </c>
      <c r="B603" t="inlineStr">
        <is>
          <t>costruction_tools_garden</t>
        </is>
      </c>
      <c r="C603" t="n">
        <v>14</v>
      </c>
      <c r="D603" t="n">
        <v>17</v>
      </c>
      <c r="E603" t="n">
        <v>1578.65</v>
      </c>
    </row>
    <row r="604">
      <c r="A604" s="19" t="n">
        <v>43040</v>
      </c>
      <c r="B604" t="inlineStr">
        <is>
          <t>costruction_tools_tools</t>
        </is>
      </c>
      <c r="C604" t="n">
        <v>4</v>
      </c>
      <c r="D604" t="n">
        <v>5</v>
      </c>
      <c r="E604" t="n">
        <v>349.54</v>
      </c>
    </row>
    <row r="605">
      <c r="A605" s="19" t="n">
        <v>43040</v>
      </c>
      <c r="B605" t="inlineStr">
        <is>
          <t>drinks</t>
        </is>
      </c>
      <c r="C605" t="n">
        <v>14</v>
      </c>
      <c r="D605" t="n">
        <v>18</v>
      </c>
      <c r="E605" t="n">
        <v>912.9100000000001</v>
      </c>
    </row>
    <row r="606">
      <c r="A606" s="19" t="n">
        <v>43040</v>
      </c>
      <c r="B606" t="inlineStr">
        <is>
          <t>dvds_blu_ray</t>
        </is>
      </c>
      <c r="C606" t="n">
        <v>3</v>
      </c>
      <c r="D606" t="n">
        <v>3</v>
      </c>
      <c r="E606" t="n">
        <v>145.67</v>
      </c>
    </row>
    <row r="607">
      <c r="A607" s="19" t="n">
        <v>43040</v>
      </c>
      <c r="B607" t="inlineStr">
        <is>
          <t>electronics</t>
        </is>
      </c>
      <c r="C607" t="n">
        <v>163</v>
      </c>
      <c r="D607" t="n">
        <v>182</v>
      </c>
      <c r="E607" t="n">
        <v>12885.15</v>
      </c>
    </row>
    <row r="608">
      <c r="A608" s="19" t="n">
        <v>43040</v>
      </c>
      <c r="B608" t="inlineStr">
        <is>
          <t>fashio_female_clothing</t>
        </is>
      </c>
      <c r="C608" t="n">
        <v>2</v>
      </c>
      <c r="D608" t="n">
        <v>2</v>
      </c>
      <c r="E608" t="n">
        <v>84.17</v>
      </c>
    </row>
    <row r="609">
      <c r="A609" s="19" t="n">
        <v>43040</v>
      </c>
      <c r="B609" t="inlineStr">
        <is>
          <t>fashion_bags_accessories</t>
        </is>
      </c>
      <c r="C609" t="n">
        <v>178</v>
      </c>
      <c r="D609" t="n">
        <v>193</v>
      </c>
      <c r="E609" t="n">
        <v>15507.36</v>
      </c>
    </row>
    <row r="610">
      <c r="A610" s="19" t="n">
        <v>43040</v>
      </c>
      <c r="B610" t="inlineStr">
        <is>
          <t>fashion_male_clothing</t>
        </is>
      </c>
      <c r="C610" t="n">
        <v>10</v>
      </c>
      <c r="D610" t="n">
        <v>11</v>
      </c>
      <c r="E610" t="n">
        <v>1041.68</v>
      </c>
    </row>
    <row r="611">
      <c r="A611" s="19" t="n">
        <v>43040</v>
      </c>
      <c r="B611" t="inlineStr">
        <is>
          <t>fashion_shoes</t>
        </is>
      </c>
      <c r="C611" t="n">
        <v>17</v>
      </c>
      <c r="D611" t="n">
        <v>19</v>
      </c>
      <c r="E611" t="n">
        <v>2032.53</v>
      </c>
    </row>
    <row r="612">
      <c r="A612" s="19" t="n">
        <v>43040</v>
      </c>
      <c r="B612" t="inlineStr">
        <is>
          <t>fashion_sport</t>
        </is>
      </c>
      <c r="C612" t="n">
        <v>1</v>
      </c>
      <c r="D612" t="n">
        <v>1</v>
      </c>
      <c r="E612" t="n">
        <v>67.68000000000001</v>
      </c>
    </row>
    <row r="613">
      <c r="A613" s="19" t="n">
        <v>43040</v>
      </c>
      <c r="B613" t="inlineStr">
        <is>
          <t>fashion_underwear_beach</t>
        </is>
      </c>
      <c r="C613" t="n">
        <v>10</v>
      </c>
      <c r="D613" t="n">
        <v>10</v>
      </c>
      <c r="E613" t="n">
        <v>1391.86</v>
      </c>
    </row>
    <row r="614">
      <c r="A614" s="19" t="n">
        <v>43040</v>
      </c>
      <c r="B614" t="inlineStr">
        <is>
          <t>fixed_telephony</t>
        </is>
      </c>
      <c r="C614" t="n">
        <v>5</v>
      </c>
      <c r="D614" t="n">
        <v>5</v>
      </c>
      <c r="E614" t="n">
        <v>1036.48</v>
      </c>
    </row>
    <row r="615">
      <c r="A615" s="19" t="n">
        <v>43040</v>
      </c>
      <c r="B615" t="inlineStr">
        <is>
          <t>flowers</t>
        </is>
      </c>
      <c r="C615" t="n">
        <v>6</v>
      </c>
      <c r="D615" t="n">
        <v>6</v>
      </c>
      <c r="E615" t="n">
        <v>269.29</v>
      </c>
    </row>
    <row r="616">
      <c r="A616" s="19" t="n">
        <v>43040</v>
      </c>
      <c r="B616" t="inlineStr">
        <is>
          <t>food</t>
        </is>
      </c>
      <c r="C616" t="n">
        <v>10</v>
      </c>
      <c r="D616" t="n">
        <v>14</v>
      </c>
      <c r="E616" t="n">
        <v>662.05</v>
      </c>
    </row>
    <row r="617">
      <c r="A617" s="19" t="n">
        <v>43040</v>
      </c>
      <c r="B617" t="inlineStr">
        <is>
          <t>food_drink</t>
        </is>
      </c>
      <c r="C617" t="n">
        <v>28</v>
      </c>
      <c r="D617" t="n">
        <v>33</v>
      </c>
      <c r="E617" t="n">
        <v>3031.35</v>
      </c>
    </row>
    <row r="618">
      <c r="A618" s="19" t="n">
        <v>43040</v>
      </c>
      <c r="B618" t="inlineStr">
        <is>
          <t>furniture_bedroom</t>
        </is>
      </c>
      <c r="C618" t="n">
        <v>3</v>
      </c>
      <c r="D618" t="n">
        <v>3</v>
      </c>
      <c r="E618" t="n">
        <v>1050.46</v>
      </c>
    </row>
    <row r="619">
      <c r="A619" s="19" t="n">
        <v>43040</v>
      </c>
      <c r="B619" t="inlineStr">
        <is>
          <t>furniture_decor</t>
        </is>
      </c>
      <c r="C619" t="n">
        <v>536</v>
      </c>
      <c r="D619" t="n">
        <v>767</v>
      </c>
      <c r="E619" t="n">
        <v>76687.92</v>
      </c>
    </row>
    <row r="620">
      <c r="A620" s="19" t="n">
        <v>43040</v>
      </c>
      <c r="B620" t="inlineStr">
        <is>
          <t>furniture_living_room</t>
        </is>
      </c>
      <c r="C620" t="n">
        <v>29</v>
      </c>
      <c r="D620" t="n">
        <v>39</v>
      </c>
      <c r="E620" t="n">
        <v>7657.900000000001</v>
      </c>
    </row>
    <row r="621">
      <c r="A621" s="19" t="n">
        <v>43040</v>
      </c>
      <c r="B621" t="inlineStr">
        <is>
          <t>furniture_mattress_and_upholstery</t>
        </is>
      </c>
      <c r="C621" t="n">
        <v>2</v>
      </c>
      <c r="D621" t="n">
        <v>2</v>
      </c>
      <c r="E621" t="n">
        <v>412.81</v>
      </c>
    </row>
    <row r="622">
      <c r="A622" s="19" t="n">
        <v>43040</v>
      </c>
      <c r="B622" t="inlineStr">
        <is>
          <t>garden_tools</t>
        </is>
      </c>
      <c r="C622" t="n">
        <v>430</v>
      </c>
      <c r="D622" t="n">
        <v>547</v>
      </c>
      <c r="E622" t="n">
        <v>56437.34</v>
      </c>
    </row>
    <row r="623">
      <c r="A623" s="19" t="n">
        <v>43040</v>
      </c>
      <c r="B623" t="inlineStr">
        <is>
          <t>health_beauty</t>
        </is>
      </c>
      <c r="C623" t="n">
        <v>519</v>
      </c>
      <c r="D623" t="n">
        <v>573</v>
      </c>
      <c r="E623" t="n">
        <v>88629.8</v>
      </c>
    </row>
    <row r="624">
      <c r="A624" s="19" t="n">
        <v>43040</v>
      </c>
      <c r="B624" t="inlineStr">
        <is>
          <t>home_appliances</t>
        </is>
      </c>
      <c r="C624" t="n">
        <v>25</v>
      </c>
      <c r="D624" t="n">
        <v>25</v>
      </c>
      <c r="E624" t="n">
        <v>5069.98</v>
      </c>
    </row>
    <row r="625">
      <c r="A625" s="19" t="n">
        <v>43040</v>
      </c>
      <c r="B625" t="inlineStr">
        <is>
          <t>home_appliances_2</t>
        </is>
      </c>
      <c r="C625" t="n">
        <v>13</v>
      </c>
      <c r="D625" t="n">
        <v>13</v>
      </c>
      <c r="E625" t="n">
        <v>5428.5</v>
      </c>
    </row>
    <row r="626">
      <c r="A626" s="19" t="n">
        <v>43040</v>
      </c>
      <c r="B626" t="inlineStr">
        <is>
          <t>home_comfort_2</t>
        </is>
      </c>
      <c r="C626" t="n">
        <v>3</v>
      </c>
      <c r="D626" t="n">
        <v>3</v>
      </c>
      <c r="E626" t="n">
        <v>80.75</v>
      </c>
    </row>
    <row r="627">
      <c r="A627" s="19" t="n">
        <v>43040</v>
      </c>
      <c r="B627" t="inlineStr">
        <is>
          <t>home_confort</t>
        </is>
      </c>
      <c r="C627" t="n">
        <v>40</v>
      </c>
      <c r="D627" t="n">
        <v>45</v>
      </c>
      <c r="E627" t="n">
        <v>6245.13</v>
      </c>
    </row>
    <row r="628">
      <c r="A628" s="19" t="n">
        <v>43040</v>
      </c>
      <c r="B628" t="inlineStr">
        <is>
          <t>home_construction</t>
        </is>
      </c>
      <c r="C628" t="n">
        <v>33</v>
      </c>
      <c r="D628" t="n">
        <v>38</v>
      </c>
      <c r="E628" t="n">
        <v>5726.54</v>
      </c>
    </row>
    <row r="629">
      <c r="A629" s="19" t="n">
        <v>43040</v>
      </c>
      <c r="B629" t="inlineStr">
        <is>
          <t>housewares</t>
        </is>
      </c>
      <c r="C629" t="n">
        <v>345</v>
      </c>
      <c r="D629" t="n">
        <v>412</v>
      </c>
      <c r="E629" t="n">
        <v>42279.36</v>
      </c>
    </row>
    <row r="630">
      <c r="A630" s="19" t="n">
        <v>43040</v>
      </c>
      <c r="B630" t="inlineStr">
        <is>
          <t>industry_commerce_and_business</t>
        </is>
      </c>
      <c r="C630" t="n">
        <v>6</v>
      </c>
      <c r="D630" t="n">
        <v>6</v>
      </c>
      <c r="E630" t="n">
        <v>2245.28</v>
      </c>
    </row>
    <row r="631">
      <c r="A631" s="19" t="n">
        <v>43040</v>
      </c>
      <c r="B631" t="inlineStr">
        <is>
          <t>kitchen_dining_laundry_garden_furniture</t>
        </is>
      </c>
      <c r="C631" t="n">
        <v>28</v>
      </c>
      <c r="D631" t="n">
        <v>33</v>
      </c>
      <c r="E631" t="n">
        <v>6387.13</v>
      </c>
    </row>
    <row r="632">
      <c r="A632" s="19" t="n">
        <v>43040</v>
      </c>
      <c r="B632" t="inlineStr">
        <is>
          <t>la_cuisine</t>
        </is>
      </c>
      <c r="C632" t="n">
        <v>1</v>
      </c>
      <c r="D632" t="n">
        <v>1</v>
      </c>
      <c r="E632" t="n">
        <v>137.11</v>
      </c>
    </row>
    <row r="633">
      <c r="A633" s="19" t="n">
        <v>43040</v>
      </c>
      <c r="B633" t="inlineStr">
        <is>
          <t>luggage_accessories</t>
        </is>
      </c>
      <c r="C633" t="n">
        <v>63</v>
      </c>
      <c r="D633" t="n">
        <v>70</v>
      </c>
      <c r="E633" t="n">
        <v>10472.44</v>
      </c>
    </row>
    <row r="634">
      <c r="A634" s="19" t="n">
        <v>43040</v>
      </c>
      <c r="B634" t="inlineStr">
        <is>
          <t>market_place</t>
        </is>
      </c>
      <c r="C634" t="n">
        <v>11</v>
      </c>
      <c r="D634" t="n">
        <v>16</v>
      </c>
      <c r="E634" t="n">
        <v>1682.61</v>
      </c>
    </row>
    <row r="635">
      <c r="A635" s="19" t="n">
        <v>43040</v>
      </c>
      <c r="B635" t="inlineStr">
        <is>
          <t>musical_instruments</t>
        </is>
      </c>
      <c r="C635" t="n">
        <v>41</v>
      </c>
      <c r="D635" t="n">
        <v>42</v>
      </c>
      <c r="E635" t="n">
        <v>17060.47</v>
      </c>
    </row>
    <row r="636">
      <c r="A636" s="19" t="n">
        <v>43040</v>
      </c>
      <c r="B636" t="inlineStr">
        <is>
          <t>office_furniture</t>
        </is>
      </c>
      <c r="C636" t="n">
        <v>75</v>
      </c>
      <c r="D636" t="n">
        <v>101</v>
      </c>
      <c r="E636" t="n">
        <v>22687.87</v>
      </c>
    </row>
    <row r="637">
      <c r="A637" s="19" t="n">
        <v>43040</v>
      </c>
      <c r="B637" t="inlineStr">
        <is>
          <t>party_supplies</t>
        </is>
      </c>
      <c r="C637" t="n">
        <v>3</v>
      </c>
      <c r="D637" t="n">
        <v>3</v>
      </c>
      <c r="E637" t="n">
        <v>906.5699999999999</v>
      </c>
    </row>
    <row r="638">
      <c r="A638" s="19" t="n">
        <v>43040</v>
      </c>
      <c r="B638" t="inlineStr">
        <is>
          <t>perfumery</t>
        </is>
      </c>
      <c r="C638" t="n">
        <v>287</v>
      </c>
      <c r="D638" t="n">
        <v>304</v>
      </c>
      <c r="E638" t="n">
        <v>36403.98</v>
      </c>
    </row>
    <row r="639">
      <c r="A639" s="19" t="n">
        <v>43040</v>
      </c>
      <c r="B639" t="inlineStr">
        <is>
          <t>pet_shop</t>
        </is>
      </c>
      <c r="C639" t="n">
        <v>82</v>
      </c>
      <c r="D639" t="n">
        <v>97</v>
      </c>
      <c r="E639" t="n">
        <v>13235.57</v>
      </c>
    </row>
    <row r="640">
      <c r="A640" s="19" t="n">
        <v>43040</v>
      </c>
      <c r="B640" t="inlineStr">
        <is>
          <t>signaling_and_security</t>
        </is>
      </c>
      <c r="C640" t="n">
        <v>3</v>
      </c>
      <c r="D640" t="n">
        <v>5</v>
      </c>
      <c r="E640" t="n">
        <v>792.79</v>
      </c>
    </row>
    <row r="641">
      <c r="A641" s="19" t="n">
        <v>43040</v>
      </c>
      <c r="B641" t="inlineStr">
        <is>
          <t>small_appliances</t>
        </is>
      </c>
      <c r="C641" t="n">
        <v>27</v>
      </c>
      <c r="D641" t="n">
        <v>28</v>
      </c>
      <c r="E641" t="n">
        <v>7487.98</v>
      </c>
    </row>
    <row r="642">
      <c r="A642" s="19" t="n">
        <v>43040</v>
      </c>
      <c r="B642" t="inlineStr">
        <is>
          <t>sports_leisure</t>
        </is>
      </c>
      <c r="C642" t="n">
        <v>542</v>
      </c>
      <c r="D642" t="n">
        <v>597</v>
      </c>
      <c r="E642" t="n">
        <v>73149.22</v>
      </c>
    </row>
    <row r="643">
      <c r="A643" s="19" t="n">
        <v>43040</v>
      </c>
      <c r="B643" t="inlineStr">
        <is>
          <t>stationery</t>
        </is>
      </c>
      <c r="C643" t="n">
        <v>149</v>
      </c>
      <c r="D643" t="n">
        <v>163</v>
      </c>
      <c r="E643" t="n">
        <v>19804.85</v>
      </c>
    </row>
    <row r="644">
      <c r="A644" s="19" t="n">
        <v>43040</v>
      </c>
      <c r="B644" t="inlineStr">
        <is>
          <t>tablets_printing_image</t>
        </is>
      </c>
      <c r="C644" t="n">
        <v>6</v>
      </c>
      <c r="D644" t="n">
        <v>6</v>
      </c>
      <c r="E644" t="n">
        <v>442.39</v>
      </c>
    </row>
    <row r="645">
      <c r="A645" s="19" t="n">
        <v>43040</v>
      </c>
      <c r="B645" t="inlineStr">
        <is>
          <t>telephony</t>
        </is>
      </c>
      <c r="C645" t="n">
        <v>343</v>
      </c>
      <c r="D645" t="n">
        <v>371</v>
      </c>
      <c r="E645" t="n">
        <v>31817.78</v>
      </c>
    </row>
    <row r="646">
      <c r="A646" s="19" t="n">
        <v>43040</v>
      </c>
      <c r="B646" t="inlineStr">
        <is>
          <t>toys</t>
        </is>
      </c>
      <c r="C646" t="n">
        <v>443</v>
      </c>
      <c r="D646" t="n">
        <v>485</v>
      </c>
      <c r="E646" t="n">
        <v>71922.78999999999</v>
      </c>
    </row>
    <row r="647">
      <c r="A647" s="19" t="n">
        <v>43040</v>
      </c>
      <c r="B647" t="inlineStr">
        <is>
          <t>unknown</t>
        </is>
      </c>
      <c r="C647" t="n">
        <v>111</v>
      </c>
      <c r="D647" t="n">
        <v>118</v>
      </c>
      <c r="E647" t="n">
        <v>15837.6</v>
      </c>
    </row>
    <row r="648">
      <c r="A648" s="19" t="n">
        <v>43040</v>
      </c>
      <c r="B648" t="inlineStr">
        <is>
          <t>watches_gifts</t>
        </is>
      </c>
      <c r="C648" t="n">
        <v>424</v>
      </c>
      <c r="D648" t="n">
        <v>463</v>
      </c>
      <c r="E648" t="n">
        <v>103135.3</v>
      </c>
    </row>
    <row r="649">
      <c r="A649" s="19" t="n">
        <v>43070</v>
      </c>
      <c r="B649" t="inlineStr">
        <is>
          <t>agro_industry_and_commerce</t>
        </is>
      </c>
      <c r="C649" t="n">
        <v>9</v>
      </c>
      <c r="D649" t="n">
        <v>11</v>
      </c>
      <c r="E649" t="n">
        <v>5664.039999999999</v>
      </c>
    </row>
    <row r="650">
      <c r="A650" s="19" t="n">
        <v>43070</v>
      </c>
      <c r="B650" t="inlineStr">
        <is>
          <t>air_conditioning</t>
        </is>
      </c>
      <c r="C650" t="n">
        <v>3</v>
      </c>
      <c r="D650" t="n">
        <v>3</v>
      </c>
      <c r="E650" t="n">
        <v>722.34</v>
      </c>
    </row>
    <row r="651">
      <c r="A651" s="19" t="n">
        <v>43070</v>
      </c>
      <c r="B651" t="inlineStr">
        <is>
          <t>art</t>
        </is>
      </c>
      <c r="C651" t="n">
        <v>3</v>
      </c>
      <c r="D651" t="n">
        <v>3</v>
      </c>
      <c r="E651" t="n">
        <v>163.39</v>
      </c>
    </row>
    <row r="652">
      <c r="A652" s="19" t="n">
        <v>43070</v>
      </c>
      <c r="B652" t="inlineStr">
        <is>
          <t>audio</t>
        </is>
      </c>
      <c r="C652" t="n">
        <v>17</v>
      </c>
      <c r="D652" t="n">
        <v>17</v>
      </c>
      <c r="E652" t="n">
        <v>2941.12</v>
      </c>
    </row>
    <row r="653">
      <c r="A653" s="19" t="n">
        <v>43070</v>
      </c>
      <c r="B653" t="inlineStr">
        <is>
          <t>auto</t>
        </is>
      </c>
      <c r="C653" t="n">
        <v>238</v>
      </c>
      <c r="D653" t="n">
        <v>263</v>
      </c>
      <c r="E653" t="n">
        <v>44775.58</v>
      </c>
    </row>
    <row r="654">
      <c r="A654" s="19" t="n">
        <v>43070</v>
      </c>
      <c r="B654" t="inlineStr">
        <is>
          <t>baby</t>
        </is>
      </c>
      <c r="C654" t="n">
        <v>135</v>
      </c>
      <c r="D654" t="n">
        <v>139</v>
      </c>
      <c r="E654" t="n">
        <v>22398.55</v>
      </c>
    </row>
    <row r="655">
      <c r="A655" s="19" t="n">
        <v>43070</v>
      </c>
      <c r="B655" t="inlineStr">
        <is>
          <t>bed_bath_table</t>
        </is>
      </c>
      <c r="C655" t="n">
        <v>476</v>
      </c>
      <c r="D655" t="n">
        <v>546</v>
      </c>
      <c r="E655" t="n">
        <v>59378.49</v>
      </c>
    </row>
    <row r="656">
      <c r="A656" s="19" t="n">
        <v>43070</v>
      </c>
      <c r="B656" t="inlineStr">
        <is>
          <t>books_general_interest</t>
        </is>
      </c>
      <c r="C656" t="n">
        <v>37</v>
      </c>
      <c r="D656" t="n">
        <v>41</v>
      </c>
      <c r="E656" t="n">
        <v>2989.22</v>
      </c>
    </row>
    <row r="657">
      <c r="A657" s="19" t="n">
        <v>43070</v>
      </c>
      <c r="B657" t="inlineStr">
        <is>
          <t>books_imported</t>
        </is>
      </c>
      <c r="C657" t="n">
        <v>3</v>
      </c>
      <c r="D657" t="n">
        <v>3</v>
      </c>
      <c r="E657" t="n">
        <v>271.06</v>
      </c>
    </row>
    <row r="658">
      <c r="A658" s="19" t="n">
        <v>43070</v>
      </c>
      <c r="B658" t="inlineStr">
        <is>
          <t>books_technical</t>
        </is>
      </c>
      <c r="C658" t="n">
        <v>4</v>
      </c>
      <c r="D658" t="n">
        <v>4</v>
      </c>
      <c r="E658" t="n">
        <v>735.96</v>
      </c>
    </row>
    <row r="659">
      <c r="A659" s="19" t="n">
        <v>43070</v>
      </c>
      <c r="B659" t="inlineStr">
        <is>
          <t>cds_dvds_musicals</t>
        </is>
      </c>
      <c r="C659" t="n">
        <v>1</v>
      </c>
      <c r="D659" t="n">
        <v>1</v>
      </c>
      <c r="E659" t="n">
        <v>74.94</v>
      </c>
    </row>
    <row r="660">
      <c r="A660" s="19" t="n">
        <v>43070</v>
      </c>
      <c r="B660" t="inlineStr">
        <is>
          <t>christmas_supplies</t>
        </is>
      </c>
      <c r="C660" t="n">
        <v>14</v>
      </c>
      <c r="D660" t="n">
        <v>16</v>
      </c>
      <c r="E660" t="n">
        <v>794.97</v>
      </c>
    </row>
    <row r="661">
      <c r="A661" s="19" t="n">
        <v>43070</v>
      </c>
      <c r="B661" t="inlineStr">
        <is>
          <t>computers</t>
        </is>
      </c>
      <c r="C661" t="n">
        <v>19</v>
      </c>
      <c r="D661" t="n">
        <v>23</v>
      </c>
      <c r="E661" t="n">
        <v>17916.27</v>
      </c>
    </row>
    <row r="662">
      <c r="A662" s="19" t="n">
        <v>43070</v>
      </c>
      <c r="B662" t="inlineStr">
        <is>
          <t>computers_accessories</t>
        </is>
      </c>
      <c r="C662" t="n">
        <v>249</v>
      </c>
      <c r="D662" t="n">
        <v>284</v>
      </c>
      <c r="E662" t="n">
        <v>42967.29</v>
      </c>
    </row>
    <row r="663">
      <c r="A663" s="19" t="n">
        <v>43070</v>
      </c>
      <c r="B663" t="inlineStr">
        <is>
          <t>consoles_games</t>
        </is>
      </c>
      <c r="C663" t="n">
        <v>87</v>
      </c>
      <c r="D663" t="n">
        <v>92</v>
      </c>
      <c r="E663" t="n">
        <v>10204.4</v>
      </c>
    </row>
    <row r="664">
      <c r="A664" s="19" t="n">
        <v>43070</v>
      </c>
      <c r="B664" t="inlineStr">
        <is>
          <t>construction_tools_construction</t>
        </is>
      </c>
      <c r="C664" t="n">
        <v>22</v>
      </c>
      <c r="D664" t="n">
        <v>27</v>
      </c>
      <c r="E664" t="n">
        <v>6566.5</v>
      </c>
    </row>
    <row r="665">
      <c r="A665" s="19" t="n">
        <v>43070</v>
      </c>
      <c r="B665" t="inlineStr">
        <is>
          <t>construction_tools_lights</t>
        </is>
      </c>
      <c r="C665" t="n">
        <v>2</v>
      </c>
      <c r="D665" t="n">
        <v>2</v>
      </c>
      <c r="E665" t="n">
        <v>206.46</v>
      </c>
    </row>
    <row r="666">
      <c r="A666" s="19" t="n">
        <v>43070</v>
      </c>
      <c r="B666" t="inlineStr">
        <is>
          <t>construction_tools_safety</t>
        </is>
      </c>
      <c r="C666" t="n">
        <v>7</v>
      </c>
      <c r="D666" t="n">
        <v>7</v>
      </c>
      <c r="E666" t="n">
        <v>1525.46</v>
      </c>
    </row>
    <row r="667">
      <c r="A667" s="19" t="n">
        <v>43070</v>
      </c>
      <c r="B667" t="inlineStr">
        <is>
          <t>cool_stuff</t>
        </is>
      </c>
      <c r="C667" t="n">
        <v>231</v>
      </c>
      <c r="D667" t="n">
        <v>248</v>
      </c>
      <c r="E667" t="n">
        <v>42704.87</v>
      </c>
    </row>
    <row r="668">
      <c r="A668" s="19" t="n">
        <v>43070</v>
      </c>
      <c r="B668" t="inlineStr">
        <is>
          <t>costruction_tools_garden</t>
        </is>
      </c>
      <c r="C668" t="n">
        <v>6</v>
      </c>
      <c r="D668" t="n">
        <v>6</v>
      </c>
      <c r="E668" t="n">
        <v>1097.75</v>
      </c>
    </row>
    <row r="669">
      <c r="A669" s="19" t="n">
        <v>43070</v>
      </c>
      <c r="B669" t="inlineStr">
        <is>
          <t>costruction_tools_tools</t>
        </is>
      </c>
      <c r="C669" t="n">
        <v>6</v>
      </c>
      <c r="D669" t="n">
        <v>6</v>
      </c>
      <c r="E669" t="n">
        <v>457.82</v>
      </c>
    </row>
    <row r="670">
      <c r="A670" s="19" t="n">
        <v>43070</v>
      </c>
      <c r="B670" t="inlineStr">
        <is>
          <t>diapers_and_hygiene</t>
        </is>
      </c>
      <c r="C670" t="n">
        <v>1</v>
      </c>
      <c r="D670" t="n">
        <v>2</v>
      </c>
      <c r="E670" t="n">
        <v>99.7</v>
      </c>
    </row>
    <row r="671">
      <c r="A671" s="19" t="n">
        <v>43070</v>
      </c>
      <c r="B671" t="inlineStr">
        <is>
          <t>drinks</t>
        </is>
      </c>
      <c r="C671" t="n">
        <v>31</v>
      </c>
      <c r="D671" t="n">
        <v>34</v>
      </c>
      <c r="E671" t="n">
        <v>2574.41</v>
      </c>
    </row>
    <row r="672">
      <c r="A672" s="19" t="n">
        <v>43070</v>
      </c>
      <c r="B672" t="inlineStr">
        <is>
          <t>dvds_blu_ray</t>
        </is>
      </c>
      <c r="C672" t="n">
        <v>1</v>
      </c>
      <c r="D672" t="n">
        <v>1</v>
      </c>
      <c r="E672" t="n">
        <v>135.49</v>
      </c>
    </row>
    <row r="673">
      <c r="A673" s="19" t="n">
        <v>43070</v>
      </c>
      <c r="B673" t="inlineStr">
        <is>
          <t>electronics</t>
        </is>
      </c>
      <c r="C673" t="n">
        <v>189</v>
      </c>
      <c r="D673" t="n">
        <v>209</v>
      </c>
      <c r="E673" t="n">
        <v>11961.77</v>
      </c>
    </row>
    <row r="674">
      <c r="A674" s="19" t="n">
        <v>43070</v>
      </c>
      <c r="B674" t="inlineStr">
        <is>
          <t>fashion_bags_accessories</t>
        </is>
      </c>
      <c r="C674" t="n">
        <v>123</v>
      </c>
      <c r="D674" t="n">
        <v>134</v>
      </c>
      <c r="E674" t="n">
        <v>11990.79</v>
      </c>
    </row>
    <row r="675">
      <c r="A675" s="19" t="n">
        <v>43070</v>
      </c>
      <c r="B675" t="inlineStr">
        <is>
          <t>fashion_male_clothing</t>
        </is>
      </c>
      <c r="C675" t="n">
        <v>4</v>
      </c>
      <c r="D675" t="n">
        <v>4</v>
      </c>
      <c r="E675" t="n">
        <v>532.14</v>
      </c>
    </row>
    <row r="676">
      <c r="A676" s="19" t="n">
        <v>43070</v>
      </c>
      <c r="B676" t="inlineStr">
        <is>
          <t>fashion_shoes</t>
        </is>
      </c>
      <c r="C676" t="n">
        <v>12</v>
      </c>
      <c r="D676" t="n">
        <v>13</v>
      </c>
      <c r="E676" t="n">
        <v>1305.46</v>
      </c>
    </row>
    <row r="677">
      <c r="A677" s="19" t="n">
        <v>43070</v>
      </c>
      <c r="B677" t="inlineStr">
        <is>
          <t>fashion_sport</t>
        </is>
      </c>
      <c r="C677" t="n">
        <v>1</v>
      </c>
      <c r="D677" t="n">
        <v>1</v>
      </c>
      <c r="E677" t="n">
        <v>76.76000000000001</v>
      </c>
    </row>
    <row r="678">
      <c r="A678" s="19" t="n">
        <v>43070</v>
      </c>
      <c r="B678" t="inlineStr">
        <is>
          <t>fashion_underwear_beach</t>
        </is>
      </c>
      <c r="C678" t="n">
        <v>13</v>
      </c>
      <c r="D678" t="n">
        <v>13</v>
      </c>
      <c r="E678" t="n">
        <v>1359.62</v>
      </c>
    </row>
    <row r="679">
      <c r="A679" s="19" t="n">
        <v>43070</v>
      </c>
      <c r="B679" t="inlineStr">
        <is>
          <t>fixed_telephony</t>
        </is>
      </c>
      <c r="C679" t="n">
        <v>5</v>
      </c>
      <c r="D679" t="n">
        <v>5</v>
      </c>
      <c r="E679" t="n">
        <v>1095.81</v>
      </c>
    </row>
    <row r="680">
      <c r="A680" s="19" t="n">
        <v>43070</v>
      </c>
      <c r="B680" t="inlineStr">
        <is>
          <t>flowers</t>
        </is>
      </c>
      <c r="C680" t="n">
        <v>2</v>
      </c>
      <c r="D680" t="n">
        <v>2</v>
      </c>
      <c r="E680" t="n">
        <v>112.98</v>
      </c>
    </row>
    <row r="681">
      <c r="A681" s="19" t="n">
        <v>43070</v>
      </c>
      <c r="B681" t="inlineStr">
        <is>
          <t>food</t>
        </is>
      </c>
      <c r="C681" t="n">
        <v>11</v>
      </c>
      <c r="D681" t="n">
        <v>13</v>
      </c>
      <c r="E681" t="n">
        <v>1117.24</v>
      </c>
    </row>
    <row r="682">
      <c r="A682" s="19" t="n">
        <v>43070</v>
      </c>
      <c r="B682" t="inlineStr">
        <is>
          <t>food_drink</t>
        </is>
      </c>
      <c r="C682" t="n">
        <v>18</v>
      </c>
      <c r="D682" t="n">
        <v>21</v>
      </c>
      <c r="E682" t="n">
        <v>1403.16</v>
      </c>
    </row>
    <row r="683">
      <c r="A683" s="19" t="n">
        <v>43070</v>
      </c>
      <c r="B683" t="inlineStr">
        <is>
          <t>furniture_bedroom</t>
        </is>
      </c>
      <c r="C683" t="n">
        <v>1</v>
      </c>
      <c r="D683" t="n">
        <v>1</v>
      </c>
      <c r="E683" t="n">
        <v>230.75</v>
      </c>
    </row>
    <row r="684">
      <c r="A684" s="19" t="n">
        <v>43070</v>
      </c>
      <c r="B684" t="inlineStr">
        <is>
          <t>furniture_decor</t>
        </is>
      </c>
      <c r="C684" t="n">
        <v>304</v>
      </c>
      <c r="D684" t="n">
        <v>378</v>
      </c>
      <c r="E684" t="n">
        <v>38228.09</v>
      </c>
    </row>
    <row r="685">
      <c r="A685" s="19" t="n">
        <v>43070</v>
      </c>
      <c r="B685" t="inlineStr">
        <is>
          <t>furniture_living_room</t>
        </is>
      </c>
      <c r="C685" t="n">
        <v>16</v>
      </c>
      <c r="D685" t="n">
        <v>20</v>
      </c>
      <c r="E685" t="n">
        <v>2940.88</v>
      </c>
    </row>
    <row r="686">
      <c r="A686" s="19" t="n">
        <v>43070</v>
      </c>
      <c r="B686" t="inlineStr">
        <is>
          <t>furniture_mattress_and_upholstery</t>
        </is>
      </c>
      <c r="C686" t="n">
        <v>8</v>
      </c>
      <c r="D686" t="n">
        <v>8</v>
      </c>
      <c r="E686" t="n">
        <v>1088.4</v>
      </c>
    </row>
    <row r="687">
      <c r="A687" s="19" t="n">
        <v>43070</v>
      </c>
      <c r="B687" t="inlineStr">
        <is>
          <t>garden_tools</t>
        </is>
      </c>
      <c r="C687" t="n">
        <v>243</v>
      </c>
      <c r="D687" t="n">
        <v>323</v>
      </c>
      <c r="E687" t="n">
        <v>34143.13</v>
      </c>
    </row>
    <row r="688">
      <c r="A688" s="19" t="n">
        <v>43070</v>
      </c>
      <c r="B688" t="inlineStr">
        <is>
          <t>health_beauty</t>
        </is>
      </c>
      <c r="C688" t="n">
        <v>426</v>
      </c>
      <c r="D688" t="n">
        <v>460</v>
      </c>
      <c r="E688" t="n">
        <v>68907.78</v>
      </c>
    </row>
    <row r="689">
      <c r="A689" s="19" t="n">
        <v>43070</v>
      </c>
      <c r="B689" t="inlineStr">
        <is>
          <t>home_appliances</t>
        </is>
      </c>
      <c r="C689" t="n">
        <v>16</v>
      </c>
      <c r="D689" t="n">
        <v>16</v>
      </c>
      <c r="E689" t="n">
        <v>1672.84</v>
      </c>
    </row>
    <row r="690">
      <c r="A690" s="19" t="n">
        <v>43070</v>
      </c>
      <c r="B690" t="inlineStr">
        <is>
          <t>home_appliances_2</t>
        </is>
      </c>
      <c r="C690" t="n">
        <v>8</v>
      </c>
      <c r="D690" t="n">
        <v>8</v>
      </c>
      <c r="E690" t="n">
        <v>2272.45</v>
      </c>
    </row>
    <row r="691">
      <c r="A691" s="19" t="n">
        <v>43070</v>
      </c>
      <c r="B691" t="inlineStr">
        <is>
          <t>home_confort</t>
        </is>
      </c>
      <c r="C691" t="n">
        <v>14</v>
      </c>
      <c r="D691" t="n">
        <v>14</v>
      </c>
      <c r="E691" t="n">
        <v>2544.89</v>
      </c>
    </row>
    <row r="692">
      <c r="A692" s="19" t="n">
        <v>43070</v>
      </c>
      <c r="B692" t="inlineStr">
        <is>
          <t>home_construction</t>
        </is>
      </c>
      <c r="C692" t="n">
        <v>29</v>
      </c>
      <c r="D692" t="n">
        <v>38</v>
      </c>
      <c r="E692" t="n">
        <v>7768.25</v>
      </c>
    </row>
    <row r="693">
      <c r="A693" s="19" t="n">
        <v>43070</v>
      </c>
      <c r="B693" t="inlineStr">
        <is>
          <t>housewares</t>
        </is>
      </c>
      <c r="C693" t="n">
        <v>243</v>
      </c>
      <c r="D693" t="n">
        <v>288</v>
      </c>
      <c r="E693" t="n">
        <v>31165.49</v>
      </c>
    </row>
    <row r="694">
      <c r="A694" s="19" t="n">
        <v>43070</v>
      </c>
      <c r="B694" t="inlineStr">
        <is>
          <t>industry_commerce_and_business</t>
        </is>
      </c>
      <c r="C694" t="n">
        <v>9</v>
      </c>
      <c r="D694" t="n">
        <v>9</v>
      </c>
      <c r="E694" t="n">
        <v>2009.86</v>
      </c>
    </row>
    <row r="695">
      <c r="A695" s="19" t="n">
        <v>43070</v>
      </c>
      <c r="B695" t="inlineStr">
        <is>
          <t>kitchen_dining_laundry_garden_furniture</t>
        </is>
      </c>
      <c r="C695" t="n">
        <v>16</v>
      </c>
      <c r="D695" t="n">
        <v>20</v>
      </c>
      <c r="E695" t="n">
        <v>5265.02</v>
      </c>
    </row>
    <row r="696">
      <c r="A696" s="19" t="n">
        <v>43070</v>
      </c>
      <c r="B696" t="inlineStr">
        <is>
          <t>luggage_accessories</t>
        </is>
      </c>
      <c r="C696" t="n">
        <v>44</v>
      </c>
      <c r="D696" t="n">
        <v>46</v>
      </c>
      <c r="E696" t="n">
        <v>7112.48</v>
      </c>
    </row>
    <row r="697">
      <c r="A697" s="19" t="n">
        <v>43070</v>
      </c>
      <c r="B697" t="inlineStr">
        <is>
          <t>market_place</t>
        </is>
      </c>
      <c r="C697" t="n">
        <v>13</v>
      </c>
      <c r="D697" t="n">
        <v>14</v>
      </c>
      <c r="E697" t="n">
        <v>884.26</v>
      </c>
    </row>
    <row r="698">
      <c r="A698" s="19" t="n">
        <v>43070</v>
      </c>
      <c r="B698" t="inlineStr">
        <is>
          <t>musical_instruments</t>
        </is>
      </c>
      <c r="C698" t="n">
        <v>41</v>
      </c>
      <c r="D698" t="n">
        <v>42</v>
      </c>
      <c r="E698" t="n">
        <v>11689.59</v>
      </c>
    </row>
    <row r="699">
      <c r="A699" s="19" t="n">
        <v>43070</v>
      </c>
      <c r="B699" t="inlineStr">
        <is>
          <t>office_furniture</t>
        </is>
      </c>
      <c r="C699" t="n">
        <v>38</v>
      </c>
      <c r="D699" t="n">
        <v>48</v>
      </c>
      <c r="E699" t="n">
        <v>8415.700000000001</v>
      </c>
    </row>
    <row r="700">
      <c r="A700" s="19" t="n">
        <v>43070</v>
      </c>
      <c r="B700" t="inlineStr">
        <is>
          <t>party_supplies</t>
        </is>
      </c>
      <c r="C700" t="n">
        <v>2</v>
      </c>
      <c r="D700" t="n">
        <v>2</v>
      </c>
      <c r="E700" t="n">
        <v>549.92</v>
      </c>
    </row>
    <row r="701">
      <c r="A701" s="19" t="n">
        <v>43070</v>
      </c>
      <c r="B701" t="inlineStr">
        <is>
          <t>perfumery</t>
        </is>
      </c>
      <c r="C701" t="n">
        <v>225</v>
      </c>
      <c r="D701" t="n">
        <v>233</v>
      </c>
      <c r="E701" t="n">
        <v>30076.96</v>
      </c>
    </row>
    <row r="702">
      <c r="A702" s="19" t="n">
        <v>43070</v>
      </c>
      <c r="B702" t="inlineStr">
        <is>
          <t>pet_shop</t>
        </is>
      </c>
      <c r="C702" t="n">
        <v>69</v>
      </c>
      <c r="D702" t="n">
        <v>72</v>
      </c>
      <c r="E702" t="n">
        <v>8611.889999999999</v>
      </c>
    </row>
    <row r="703">
      <c r="A703" s="19" t="n">
        <v>43070</v>
      </c>
      <c r="B703" t="inlineStr">
        <is>
          <t>signaling_and_security</t>
        </is>
      </c>
      <c r="C703" t="n">
        <v>2</v>
      </c>
      <c r="D703" t="n">
        <v>2</v>
      </c>
      <c r="E703" t="n">
        <v>842.4399999999999</v>
      </c>
    </row>
    <row r="704">
      <c r="A704" s="19" t="n">
        <v>43070</v>
      </c>
      <c r="B704" t="inlineStr">
        <is>
          <t>small_appliances</t>
        </is>
      </c>
      <c r="C704" t="n">
        <v>26</v>
      </c>
      <c r="D704" t="n">
        <v>27</v>
      </c>
      <c r="E704" t="n">
        <v>8063.070000000001</v>
      </c>
    </row>
    <row r="705">
      <c r="A705" s="19" t="n">
        <v>43070</v>
      </c>
      <c r="B705" t="inlineStr">
        <is>
          <t>sports_leisure</t>
        </is>
      </c>
      <c r="C705" t="n">
        <v>431</v>
      </c>
      <c r="D705" t="n">
        <v>484</v>
      </c>
      <c r="E705" t="n">
        <v>68184.69</v>
      </c>
    </row>
    <row r="706">
      <c r="A706" s="19" t="n">
        <v>43070</v>
      </c>
      <c r="B706" t="inlineStr">
        <is>
          <t>stationery</t>
        </is>
      </c>
      <c r="C706" t="n">
        <v>229</v>
      </c>
      <c r="D706" t="n">
        <v>248</v>
      </c>
      <c r="E706" t="n">
        <v>29428.15</v>
      </c>
    </row>
    <row r="707">
      <c r="A707" s="19" t="n">
        <v>43070</v>
      </c>
      <c r="B707" t="inlineStr">
        <is>
          <t>tablets_printing_image</t>
        </is>
      </c>
      <c r="C707" t="n">
        <v>6</v>
      </c>
      <c r="D707" t="n">
        <v>6</v>
      </c>
      <c r="E707" t="n">
        <v>475.02</v>
      </c>
    </row>
    <row r="708">
      <c r="A708" s="19" t="n">
        <v>43070</v>
      </c>
      <c r="B708" t="inlineStr">
        <is>
          <t>telephony</t>
        </is>
      </c>
      <c r="C708" t="n">
        <v>237</v>
      </c>
      <c r="D708" t="n">
        <v>260</v>
      </c>
      <c r="E708" t="n">
        <v>16452.82</v>
      </c>
    </row>
    <row r="709">
      <c r="A709" s="19" t="n">
        <v>43070</v>
      </c>
      <c r="B709" t="inlineStr">
        <is>
          <t>toys</t>
        </is>
      </c>
      <c r="C709" t="n">
        <v>413</v>
      </c>
      <c r="D709" t="n">
        <v>436</v>
      </c>
      <c r="E709" t="n">
        <v>63462.53999999999</v>
      </c>
    </row>
    <row r="710">
      <c r="A710" s="19" t="n">
        <v>43070</v>
      </c>
      <c r="B710" t="inlineStr">
        <is>
          <t>unknown</t>
        </is>
      </c>
      <c r="C710" t="n">
        <v>132</v>
      </c>
      <c r="D710" t="n">
        <v>137</v>
      </c>
      <c r="E710" t="n">
        <v>17371.04</v>
      </c>
    </row>
    <row r="711">
      <c r="A711" s="19" t="n">
        <v>43070</v>
      </c>
      <c r="B711" t="inlineStr">
        <is>
          <t>watches_gifts</t>
        </is>
      </c>
      <c r="C711" t="n">
        <v>333</v>
      </c>
      <c r="D711" t="n">
        <v>353</v>
      </c>
      <c r="E711" t="n">
        <v>74898.08</v>
      </c>
    </row>
    <row r="712">
      <c r="A712" s="19" t="n">
        <v>43101</v>
      </c>
      <c r="B712" t="inlineStr">
        <is>
          <t>agro_industry_and_commerce</t>
        </is>
      </c>
      <c r="C712" t="n">
        <v>15</v>
      </c>
      <c r="D712" t="n">
        <v>18</v>
      </c>
      <c r="E712" t="n">
        <v>6296.51</v>
      </c>
    </row>
    <row r="713">
      <c r="A713" s="19" t="n">
        <v>43101</v>
      </c>
      <c r="B713" t="inlineStr">
        <is>
          <t>air_conditioning</t>
        </is>
      </c>
      <c r="C713" t="n">
        <v>22</v>
      </c>
      <c r="D713" t="n">
        <v>29</v>
      </c>
      <c r="E713" t="n">
        <v>5177.52</v>
      </c>
    </row>
    <row r="714">
      <c r="A714" s="19" t="n">
        <v>43101</v>
      </c>
      <c r="B714" t="inlineStr">
        <is>
          <t>art</t>
        </is>
      </c>
      <c r="C714" t="n">
        <v>19</v>
      </c>
      <c r="D714" t="n">
        <v>19</v>
      </c>
      <c r="E714" t="n">
        <v>2864.21</v>
      </c>
    </row>
    <row r="715">
      <c r="A715" s="19" t="n">
        <v>43101</v>
      </c>
      <c r="B715" t="inlineStr">
        <is>
          <t>audio</t>
        </is>
      </c>
      <c r="C715" t="n">
        <v>25</v>
      </c>
      <c r="D715" t="n">
        <v>26</v>
      </c>
      <c r="E715" t="n">
        <v>4233.39</v>
      </c>
    </row>
    <row r="716">
      <c r="A716" s="19" t="n">
        <v>43101</v>
      </c>
      <c r="B716" t="inlineStr">
        <is>
          <t>auto</t>
        </is>
      </c>
      <c r="C716" t="n">
        <v>243</v>
      </c>
      <c r="D716" t="n">
        <v>267</v>
      </c>
      <c r="E716" t="n">
        <v>41132.68</v>
      </c>
    </row>
    <row r="717">
      <c r="A717" s="19" t="n">
        <v>43101</v>
      </c>
      <c r="B717" t="inlineStr">
        <is>
          <t>baby</t>
        </is>
      </c>
      <c r="C717" t="n">
        <v>209</v>
      </c>
      <c r="D717" t="n">
        <v>219</v>
      </c>
      <c r="E717" t="n">
        <v>34516.96</v>
      </c>
    </row>
    <row r="718">
      <c r="A718" s="19" t="n">
        <v>43101</v>
      </c>
      <c r="B718" t="inlineStr">
        <is>
          <t>bed_bath_table</t>
        </is>
      </c>
      <c r="C718" t="n">
        <v>689</v>
      </c>
      <c r="D718" t="n">
        <v>836</v>
      </c>
      <c r="E718" t="n">
        <v>89658.06999999999</v>
      </c>
    </row>
    <row r="719">
      <c r="A719" s="19" t="n">
        <v>43101</v>
      </c>
      <c r="B719" t="inlineStr">
        <is>
          <t>books_general_interest</t>
        </is>
      </c>
      <c r="C719" t="n">
        <v>40</v>
      </c>
      <c r="D719" t="n">
        <v>44</v>
      </c>
      <c r="E719" t="n">
        <v>2791.32</v>
      </c>
    </row>
    <row r="720">
      <c r="A720" s="19" t="n">
        <v>43101</v>
      </c>
      <c r="B720" t="inlineStr">
        <is>
          <t>books_imported</t>
        </is>
      </c>
      <c r="C720" t="n">
        <v>6</v>
      </c>
      <c r="D720" t="n">
        <v>6</v>
      </c>
      <c r="E720" t="n">
        <v>648.67</v>
      </c>
    </row>
    <row r="721">
      <c r="A721" s="19" t="n">
        <v>43101</v>
      </c>
      <c r="B721" t="inlineStr">
        <is>
          <t>books_technical</t>
        </is>
      </c>
      <c r="C721" t="n">
        <v>16</v>
      </c>
      <c r="D721" t="n">
        <v>17</v>
      </c>
      <c r="E721" t="n">
        <v>1418.83</v>
      </c>
    </row>
    <row r="722">
      <c r="A722" s="19" t="n">
        <v>43101</v>
      </c>
      <c r="B722" t="inlineStr">
        <is>
          <t>christmas_supplies</t>
        </is>
      </c>
      <c r="C722" t="n">
        <v>9</v>
      </c>
      <c r="D722" t="n">
        <v>10</v>
      </c>
      <c r="E722" t="n">
        <v>1104.46</v>
      </c>
    </row>
    <row r="723">
      <c r="A723" s="19" t="n">
        <v>43101</v>
      </c>
      <c r="B723" t="inlineStr">
        <is>
          <t>cine_photo</t>
        </is>
      </c>
      <c r="C723" t="n">
        <v>2</v>
      </c>
      <c r="D723" t="n">
        <v>2</v>
      </c>
      <c r="E723" t="n">
        <v>223.78</v>
      </c>
    </row>
    <row r="724">
      <c r="A724" s="19" t="n">
        <v>43101</v>
      </c>
      <c r="B724" t="inlineStr">
        <is>
          <t>computers</t>
        </is>
      </c>
      <c r="C724" t="n">
        <v>11</v>
      </c>
      <c r="D724" t="n">
        <v>11</v>
      </c>
      <c r="E724" t="n">
        <v>7646.57</v>
      </c>
    </row>
    <row r="725">
      <c r="A725" s="19" t="n">
        <v>43101</v>
      </c>
      <c r="B725" t="inlineStr">
        <is>
          <t>computers_accessories</t>
        </is>
      </c>
      <c r="C725" t="n">
        <v>574</v>
      </c>
      <c r="D725" t="n">
        <v>688</v>
      </c>
      <c r="E725" t="n">
        <v>93086.53000000001</v>
      </c>
    </row>
    <row r="726">
      <c r="A726" s="19" t="n">
        <v>43101</v>
      </c>
      <c r="B726" t="inlineStr">
        <is>
          <t>consoles_games</t>
        </is>
      </c>
      <c r="C726" t="n">
        <v>50</v>
      </c>
      <c r="D726" t="n">
        <v>51</v>
      </c>
      <c r="E726" t="n">
        <v>8145.049999999999</v>
      </c>
    </row>
    <row r="727">
      <c r="A727" s="19" t="n">
        <v>43101</v>
      </c>
      <c r="B727" t="inlineStr">
        <is>
          <t>construction_tools_construction</t>
        </is>
      </c>
      <c r="C727" t="n">
        <v>40</v>
      </c>
      <c r="D727" t="n">
        <v>48</v>
      </c>
      <c r="E727" t="n">
        <v>10753.32</v>
      </c>
    </row>
    <row r="728">
      <c r="A728" s="19" t="n">
        <v>43101</v>
      </c>
      <c r="B728" t="inlineStr">
        <is>
          <t>construction_tools_lights</t>
        </is>
      </c>
      <c r="C728" t="n">
        <v>6</v>
      </c>
      <c r="D728" t="n">
        <v>7</v>
      </c>
      <c r="E728" t="n">
        <v>2554.77</v>
      </c>
    </row>
    <row r="729">
      <c r="A729" s="19" t="n">
        <v>43101</v>
      </c>
      <c r="B729" t="inlineStr">
        <is>
          <t>construction_tools_safety</t>
        </is>
      </c>
      <c r="C729" t="n">
        <v>9</v>
      </c>
      <c r="D729" t="n">
        <v>11</v>
      </c>
      <c r="E729" t="n">
        <v>2424.76</v>
      </c>
    </row>
    <row r="730">
      <c r="A730" s="19" t="n">
        <v>43101</v>
      </c>
      <c r="B730" t="inlineStr">
        <is>
          <t>cool_stuff</t>
        </is>
      </c>
      <c r="C730" t="n">
        <v>285</v>
      </c>
      <c r="D730" t="n">
        <v>296</v>
      </c>
      <c r="E730" t="n">
        <v>44861.89</v>
      </c>
    </row>
    <row r="731">
      <c r="A731" s="19" t="n">
        <v>43101</v>
      </c>
      <c r="B731" t="inlineStr">
        <is>
          <t>costruction_tools_garden</t>
        </is>
      </c>
      <c r="C731" t="n">
        <v>21</v>
      </c>
      <c r="D731" t="n">
        <v>24</v>
      </c>
      <c r="E731" t="n">
        <v>4505.74</v>
      </c>
    </row>
    <row r="732">
      <c r="A732" s="19" t="n">
        <v>43101</v>
      </c>
      <c r="B732" t="inlineStr">
        <is>
          <t>costruction_tools_tools</t>
        </is>
      </c>
      <c r="C732" t="n">
        <v>8</v>
      </c>
      <c r="D732" t="n">
        <v>8</v>
      </c>
      <c r="E732" t="n">
        <v>695.13</v>
      </c>
    </row>
    <row r="733">
      <c r="A733" s="19" t="n">
        <v>43101</v>
      </c>
      <c r="B733" t="inlineStr">
        <is>
          <t>diapers_and_hygiene</t>
        </is>
      </c>
      <c r="C733" t="n">
        <v>1</v>
      </c>
      <c r="D733" t="n">
        <v>5</v>
      </c>
      <c r="E733" t="n">
        <v>188.45</v>
      </c>
    </row>
    <row r="734">
      <c r="A734" s="19" t="n">
        <v>43101</v>
      </c>
      <c r="B734" t="inlineStr">
        <is>
          <t>drinks</t>
        </is>
      </c>
      <c r="C734" t="n">
        <v>39</v>
      </c>
      <c r="D734" t="n">
        <v>50</v>
      </c>
      <c r="E734" t="n">
        <v>2948.39</v>
      </c>
    </row>
    <row r="735">
      <c r="A735" s="19" t="n">
        <v>43101</v>
      </c>
      <c r="B735" t="inlineStr">
        <is>
          <t>dvds_blu_ray</t>
        </is>
      </c>
      <c r="C735" t="n">
        <v>2</v>
      </c>
      <c r="D735" t="n">
        <v>2</v>
      </c>
      <c r="E735" t="n">
        <v>96.58</v>
      </c>
    </row>
    <row r="736">
      <c r="A736" s="19" t="n">
        <v>43101</v>
      </c>
      <c r="B736" t="inlineStr">
        <is>
          <t>electronics</t>
        </is>
      </c>
      <c r="C736" t="n">
        <v>319</v>
      </c>
      <c r="D736" t="n">
        <v>348</v>
      </c>
      <c r="E736" t="n">
        <v>21469.04</v>
      </c>
    </row>
    <row r="737">
      <c r="A737" s="19" t="n">
        <v>43101</v>
      </c>
      <c r="B737" t="inlineStr">
        <is>
          <t>fashio_female_clothing</t>
        </is>
      </c>
      <c r="C737" t="n">
        <v>3</v>
      </c>
      <c r="D737" t="n">
        <v>3</v>
      </c>
      <c r="E737" t="n">
        <v>196.48</v>
      </c>
    </row>
    <row r="738">
      <c r="A738" s="19" t="n">
        <v>43101</v>
      </c>
      <c r="B738" t="inlineStr">
        <is>
          <t>fashion_bags_accessories</t>
        </is>
      </c>
      <c r="C738" t="n">
        <v>116</v>
      </c>
      <c r="D738" t="n">
        <v>125</v>
      </c>
      <c r="E738" t="n">
        <v>9849.049999999999</v>
      </c>
    </row>
    <row r="739">
      <c r="A739" s="19" t="n">
        <v>43101</v>
      </c>
      <c r="B739" t="inlineStr">
        <is>
          <t>fashion_male_clothing</t>
        </is>
      </c>
      <c r="C739" t="n">
        <v>5</v>
      </c>
      <c r="D739" t="n">
        <v>6</v>
      </c>
      <c r="E739" t="n">
        <v>662.17</v>
      </c>
    </row>
    <row r="740">
      <c r="A740" s="19" t="n">
        <v>43101</v>
      </c>
      <c r="B740" t="inlineStr">
        <is>
          <t>fashion_shoes</t>
        </is>
      </c>
      <c r="C740" t="n">
        <v>7</v>
      </c>
      <c r="D740" t="n">
        <v>9</v>
      </c>
      <c r="E740" t="n">
        <v>822.3100000000001</v>
      </c>
    </row>
    <row r="741">
      <c r="A741" s="19" t="n">
        <v>43101</v>
      </c>
      <c r="B741" t="inlineStr">
        <is>
          <t>fashion_sport</t>
        </is>
      </c>
      <c r="C741" t="n">
        <v>2</v>
      </c>
      <c r="D741" t="n">
        <v>2</v>
      </c>
      <c r="E741" t="n">
        <v>145.34</v>
      </c>
    </row>
    <row r="742">
      <c r="A742" s="19" t="n">
        <v>43101</v>
      </c>
      <c r="B742" t="inlineStr">
        <is>
          <t>fashion_underwear_beach</t>
        </is>
      </c>
      <c r="C742" t="n">
        <v>8</v>
      </c>
      <c r="D742" t="n">
        <v>8</v>
      </c>
      <c r="E742" t="n">
        <v>877.02</v>
      </c>
    </row>
    <row r="743">
      <c r="A743" s="19" t="n">
        <v>43101</v>
      </c>
      <c r="B743" t="inlineStr">
        <is>
          <t>fixed_telephony</t>
        </is>
      </c>
      <c r="C743" t="n">
        <v>10</v>
      </c>
      <c r="D743" t="n">
        <v>10</v>
      </c>
      <c r="E743" t="n">
        <v>2633.55</v>
      </c>
    </row>
    <row r="744">
      <c r="A744" s="19" t="n">
        <v>43101</v>
      </c>
      <c r="B744" t="inlineStr">
        <is>
          <t>flowers</t>
        </is>
      </c>
      <c r="C744" t="n">
        <v>7</v>
      </c>
      <c r="D744" t="n">
        <v>10</v>
      </c>
      <c r="E744" t="n">
        <v>438.26</v>
      </c>
    </row>
    <row r="745">
      <c r="A745" s="19" t="n">
        <v>43101</v>
      </c>
      <c r="B745" t="inlineStr">
        <is>
          <t>food</t>
        </is>
      </c>
      <c r="C745" t="n">
        <v>18</v>
      </c>
      <c r="D745" t="n">
        <v>19</v>
      </c>
      <c r="E745" t="n">
        <v>1080.12</v>
      </c>
    </row>
    <row r="746">
      <c r="A746" s="19" t="n">
        <v>43101</v>
      </c>
      <c r="B746" t="inlineStr">
        <is>
          <t>food_drink</t>
        </is>
      </c>
      <c r="C746" t="n">
        <v>10</v>
      </c>
      <c r="D746" t="n">
        <v>11</v>
      </c>
      <c r="E746" t="n">
        <v>529.22</v>
      </c>
    </row>
    <row r="747">
      <c r="A747" s="19" t="n">
        <v>43101</v>
      </c>
      <c r="B747" t="inlineStr">
        <is>
          <t>furniture_bedroom</t>
        </is>
      </c>
      <c r="C747" t="n">
        <v>5</v>
      </c>
      <c r="D747" t="n">
        <v>5</v>
      </c>
      <c r="E747" t="n">
        <v>1065.04</v>
      </c>
    </row>
    <row r="748">
      <c r="A748" s="19" t="n">
        <v>43101</v>
      </c>
      <c r="B748" t="inlineStr">
        <is>
          <t>furniture_decor</t>
        </is>
      </c>
      <c r="C748" t="n">
        <v>467</v>
      </c>
      <c r="D748" t="n">
        <v>595</v>
      </c>
      <c r="E748" t="n">
        <v>65574.57000000001</v>
      </c>
    </row>
    <row r="749">
      <c r="A749" s="19" t="n">
        <v>43101</v>
      </c>
      <c r="B749" t="inlineStr">
        <is>
          <t>furniture_living_room</t>
        </is>
      </c>
      <c r="C749" t="n">
        <v>22</v>
      </c>
      <c r="D749" t="n">
        <v>22</v>
      </c>
      <c r="E749" t="n">
        <v>2861.95</v>
      </c>
    </row>
    <row r="750">
      <c r="A750" s="19" t="n">
        <v>43101</v>
      </c>
      <c r="B750" t="inlineStr">
        <is>
          <t>furniture_mattress_and_upholstery</t>
        </is>
      </c>
      <c r="C750" t="n">
        <v>9</v>
      </c>
      <c r="D750" t="n">
        <v>9</v>
      </c>
      <c r="E750" t="n">
        <v>1270.4</v>
      </c>
    </row>
    <row r="751">
      <c r="A751" s="19" t="n">
        <v>43101</v>
      </c>
      <c r="B751" t="inlineStr">
        <is>
          <t>garden_tools</t>
        </is>
      </c>
      <c r="C751" t="n">
        <v>202</v>
      </c>
      <c r="D751" t="n">
        <v>236</v>
      </c>
      <c r="E751" t="n">
        <v>32474.1</v>
      </c>
    </row>
    <row r="752">
      <c r="A752" s="19" t="n">
        <v>43101</v>
      </c>
      <c r="B752" t="inlineStr">
        <is>
          <t>health_beauty</t>
        </is>
      </c>
      <c r="C752" t="n">
        <v>563</v>
      </c>
      <c r="D752" t="n">
        <v>619</v>
      </c>
      <c r="E752" t="n">
        <v>81989.67999999999</v>
      </c>
    </row>
    <row r="753">
      <c r="A753" s="19" t="n">
        <v>43101</v>
      </c>
      <c r="B753" t="inlineStr">
        <is>
          <t>home_appliances</t>
        </is>
      </c>
      <c r="C753" t="n">
        <v>26</v>
      </c>
      <c r="D753" t="n">
        <v>27</v>
      </c>
      <c r="E753" t="n">
        <v>2107.29</v>
      </c>
    </row>
    <row r="754">
      <c r="A754" s="19" t="n">
        <v>43101</v>
      </c>
      <c r="B754" t="inlineStr">
        <is>
          <t>home_appliances_2</t>
        </is>
      </c>
      <c r="C754" t="n">
        <v>12</v>
      </c>
      <c r="D754" t="n">
        <v>13</v>
      </c>
      <c r="E754" t="n">
        <v>9109.57</v>
      </c>
    </row>
    <row r="755">
      <c r="A755" s="19" t="n">
        <v>43101</v>
      </c>
      <c r="B755" t="inlineStr">
        <is>
          <t>home_confort</t>
        </is>
      </c>
      <c r="C755" t="n">
        <v>18</v>
      </c>
      <c r="D755" t="n">
        <v>18</v>
      </c>
      <c r="E755" t="n">
        <v>3435.61</v>
      </c>
    </row>
    <row r="756">
      <c r="A756" s="19" t="n">
        <v>43101</v>
      </c>
      <c r="B756" t="inlineStr">
        <is>
          <t>home_construction</t>
        </is>
      </c>
      <c r="C756" t="n">
        <v>27</v>
      </c>
      <c r="D756" t="n">
        <v>40</v>
      </c>
      <c r="E756" t="n">
        <v>6626.98</v>
      </c>
    </row>
    <row r="757">
      <c r="A757" s="19" t="n">
        <v>43101</v>
      </c>
      <c r="B757" t="inlineStr">
        <is>
          <t>housewares</t>
        </is>
      </c>
      <c r="C757" t="n">
        <v>317</v>
      </c>
      <c r="D757" t="n">
        <v>351</v>
      </c>
      <c r="E757" t="n">
        <v>45152.51</v>
      </c>
    </row>
    <row r="758">
      <c r="A758" s="19" t="n">
        <v>43101</v>
      </c>
      <c r="B758" t="inlineStr">
        <is>
          <t>industry_commerce_and_business</t>
        </is>
      </c>
      <c r="C758" t="n">
        <v>15</v>
      </c>
      <c r="D758" t="n">
        <v>18</v>
      </c>
      <c r="E758" t="n">
        <v>3223.83</v>
      </c>
    </row>
    <row r="759">
      <c r="A759" s="19" t="n">
        <v>43101</v>
      </c>
      <c r="B759" t="inlineStr">
        <is>
          <t>kitchen_dining_laundry_garden_furniture</t>
        </is>
      </c>
      <c r="C759" t="n">
        <v>20</v>
      </c>
      <c r="D759" t="n">
        <v>21</v>
      </c>
      <c r="E759" t="n">
        <v>5949.219999999999</v>
      </c>
    </row>
    <row r="760">
      <c r="A760" s="19" t="n">
        <v>43101</v>
      </c>
      <c r="B760" t="inlineStr">
        <is>
          <t>la_cuisine</t>
        </is>
      </c>
      <c r="C760" t="n">
        <v>1</v>
      </c>
      <c r="D760" t="n">
        <v>1</v>
      </c>
      <c r="E760" t="n">
        <v>130.03</v>
      </c>
    </row>
    <row r="761">
      <c r="A761" s="19" t="n">
        <v>43101</v>
      </c>
      <c r="B761" t="inlineStr">
        <is>
          <t>luggage_accessories</t>
        </is>
      </c>
      <c r="C761" t="n">
        <v>121</v>
      </c>
      <c r="D761" t="n">
        <v>126</v>
      </c>
      <c r="E761" t="n">
        <v>21815.93</v>
      </c>
    </row>
    <row r="762">
      <c r="A762" s="19" t="n">
        <v>43101</v>
      </c>
      <c r="B762" t="inlineStr">
        <is>
          <t>market_place</t>
        </is>
      </c>
      <c r="C762" t="n">
        <v>12</v>
      </c>
      <c r="D762" t="n">
        <v>14</v>
      </c>
      <c r="E762" t="n">
        <v>1046.76</v>
      </c>
    </row>
    <row r="763">
      <c r="A763" s="19" t="n">
        <v>43101</v>
      </c>
      <c r="B763" t="inlineStr">
        <is>
          <t>music</t>
        </is>
      </c>
      <c r="C763" t="n">
        <v>1</v>
      </c>
      <c r="D763" t="n">
        <v>1</v>
      </c>
      <c r="E763" t="n">
        <v>40.07</v>
      </c>
    </row>
    <row r="764">
      <c r="A764" s="19" t="n">
        <v>43101</v>
      </c>
      <c r="B764" t="inlineStr">
        <is>
          <t>musical_instruments</t>
        </is>
      </c>
      <c r="C764" t="n">
        <v>49</v>
      </c>
      <c r="D764" t="n">
        <v>51</v>
      </c>
      <c r="E764" t="n">
        <v>16425.73</v>
      </c>
    </row>
    <row r="765">
      <c r="A765" s="19" t="n">
        <v>43101</v>
      </c>
      <c r="B765" t="inlineStr">
        <is>
          <t>office_furniture</t>
        </is>
      </c>
      <c r="C765" t="n">
        <v>104</v>
      </c>
      <c r="D765" t="n">
        <v>142</v>
      </c>
      <c r="E765" t="n">
        <v>24919.94</v>
      </c>
    </row>
    <row r="766">
      <c r="A766" s="19" t="n">
        <v>43101</v>
      </c>
      <c r="B766" t="inlineStr">
        <is>
          <t>party_supplies</t>
        </is>
      </c>
      <c r="C766" t="n">
        <v>2</v>
      </c>
      <c r="D766" t="n">
        <v>2</v>
      </c>
      <c r="E766" t="n">
        <v>170.26</v>
      </c>
    </row>
    <row r="767">
      <c r="A767" s="19" t="n">
        <v>43101</v>
      </c>
      <c r="B767" t="inlineStr">
        <is>
          <t>perfumery</t>
        </is>
      </c>
      <c r="C767" t="n">
        <v>207</v>
      </c>
      <c r="D767" t="n">
        <v>223</v>
      </c>
      <c r="E767" t="n">
        <v>22817.13</v>
      </c>
    </row>
    <row r="768">
      <c r="A768" s="19" t="n">
        <v>43101</v>
      </c>
      <c r="B768" t="inlineStr">
        <is>
          <t>pet_shop</t>
        </is>
      </c>
      <c r="C768" t="n">
        <v>76</v>
      </c>
      <c r="D768" t="n">
        <v>89</v>
      </c>
      <c r="E768" t="n">
        <v>12581.32</v>
      </c>
    </row>
    <row r="769">
      <c r="A769" s="19" t="n">
        <v>43101</v>
      </c>
      <c r="B769" t="inlineStr">
        <is>
          <t>signaling_and_security</t>
        </is>
      </c>
      <c r="C769" t="n">
        <v>7</v>
      </c>
      <c r="D769" t="n">
        <v>8</v>
      </c>
      <c r="E769" t="n">
        <v>1295.97</v>
      </c>
    </row>
    <row r="770">
      <c r="A770" s="19" t="n">
        <v>43101</v>
      </c>
      <c r="B770" t="inlineStr">
        <is>
          <t>small_appliances</t>
        </is>
      </c>
      <c r="C770" t="n">
        <v>50</v>
      </c>
      <c r="D770" t="n">
        <v>53</v>
      </c>
      <c r="E770" t="n">
        <v>15579.25</v>
      </c>
    </row>
    <row r="771">
      <c r="A771" s="19" t="n">
        <v>43101</v>
      </c>
      <c r="B771" t="inlineStr">
        <is>
          <t>small_appliances_home_oven_and_coffee</t>
        </is>
      </c>
      <c r="C771" t="n">
        <v>1</v>
      </c>
      <c r="D771" t="n">
        <v>1</v>
      </c>
      <c r="E771" t="n">
        <v>385.13</v>
      </c>
    </row>
    <row r="772">
      <c r="A772" s="19" t="n">
        <v>43101</v>
      </c>
      <c r="B772" t="inlineStr">
        <is>
          <t>sports_leisure</t>
        </is>
      </c>
      <c r="C772" t="n">
        <v>575</v>
      </c>
      <c r="D772" t="n">
        <v>642</v>
      </c>
      <c r="E772" t="n">
        <v>99078.58</v>
      </c>
    </row>
    <row r="773">
      <c r="A773" s="19" t="n">
        <v>43101</v>
      </c>
      <c r="B773" t="inlineStr">
        <is>
          <t>stationery</t>
        </is>
      </c>
      <c r="C773" t="n">
        <v>368</v>
      </c>
      <c r="D773" t="n">
        <v>385</v>
      </c>
      <c r="E773" t="n">
        <v>46323.52</v>
      </c>
    </row>
    <row r="774">
      <c r="A774" s="19" t="n">
        <v>43101</v>
      </c>
      <c r="B774" t="inlineStr">
        <is>
          <t>tablets_printing_image</t>
        </is>
      </c>
      <c r="C774" t="n">
        <v>3</v>
      </c>
      <c r="D774" t="n">
        <v>3</v>
      </c>
      <c r="E774" t="n">
        <v>186.77</v>
      </c>
    </row>
    <row r="775">
      <c r="A775" s="19" t="n">
        <v>43101</v>
      </c>
      <c r="B775" t="inlineStr">
        <is>
          <t>telephony</t>
        </is>
      </c>
      <c r="C775" t="n">
        <v>343</v>
      </c>
      <c r="D775" t="n">
        <v>368</v>
      </c>
      <c r="E775" t="n">
        <v>20255.18</v>
      </c>
    </row>
    <row r="776">
      <c r="A776" s="19" t="n">
        <v>43101</v>
      </c>
      <c r="B776" t="inlineStr">
        <is>
          <t>toys</t>
        </is>
      </c>
      <c r="C776" t="n">
        <v>154</v>
      </c>
      <c r="D776" t="n">
        <v>161</v>
      </c>
      <c r="E776" t="n">
        <v>24211.17</v>
      </c>
    </row>
    <row r="777">
      <c r="A777" s="19" t="n">
        <v>43101</v>
      </c>
      <c r="B777" t="inlineStr">
        <is>
          <t>unknown</t>
        </is>
      </c>
      <c r="C777" t="n">
        <v>171</v>
      </c>
      <c r="D777" t="n">
        <v>193</v>
      </c>
      <c r="E777" t="n">
        <v>23921.98</v>
      </c>
    </row>
    <row r="778">
      <c r="A778" s="19" t="n">
        <v>43101</v>
      </c>
      <c r="B778" t="inlineStr">
        <is>
          <t>watches_gifts</t>
        </is>
      </c>
      <c r="C778" t="n">
        <v>322</v>
      </c>
      <c r="D778" t="n">
        <v>355</v>
      </c>
      <c r="E778" t="n">
        <v>79185.85000000001</v>
      </c>
    </row>
    <row r="779">
      <c r="A779" s="19" t="n">
        <v>43132</v>
      </c>
      <c r="B779" t="inlineStr">
        <is>
          <t>agro_industry_and_commerce</t>
        </is>
      </c>
      <c r="C779" t="n">
        <v>20</v>
      </c>
      <c r="D779" t="n">
        <v>26</v>
      </c>
      <c r="E779" t="n">
        <v>8031.41</v>
      </c>
    </row>
    <row r="780">
      <c r="A780" s="19" t="n">
        <v>43132</v>
      </c>
      <c r="B780" t="inlineStr">
        <is>
          <t>air_conditioning</t>
        </is>
      </c>
      <c r="C780" t="n">
        <v>11</v>
      </c>
      <c r="D780" t="n">
        <v>12</v>
      </c>
      <c r="E780" t="n">
        <v>2892.67</v>
      </c>
    </row>
    <row r="781">
      <c r="A781" s="19" t="n">
        <v>43132</v>
      </c>
      <c r="B781" t="inlineStr">
        <is>
          <t>art</t>
        </is>
      </c>
      <c r="C781" t="n">
        <v>11</v>
      </c>
      <c r="D781" t="n">
        <v>12</v>
      </c>
      <c r="E781" t="n">
        <v>1509.23</v>
      </c>
    </row>
    <row r="782">
      <c r="A782" s="19" t="n">
        <v>43132</v>
      </c>
      <c r="B782" t="inlineStr">
        <is>
          <t>audio</t>
        </is>
      </c>
      <c r="C782" t="n">
        <v>15</v>
      </c>
      <c r="D782" t="n">
        <v>15</v>
      </c>
      <c r="E782" t="n">
        <v>3038.58</v>
      </c>
    </row>
    <row r="783">
      <c r="A783" s="19" t="n">
        <v>43132</v>
      </c>
      <c r="B783" t="inlineStr">
        <is>
          <t>auto</t>
        </is>
      </c>
      <c r="C783" t="n">
        <v>299</v>
      </c>
      <c r="D783" t="n">
        <v>315</v>
      </c>
      <c r="E783" t="n">
        <v>47326.78</v>
      </c>
    </row>
    <row r="784">
      <c r="A784" s="19" t="n">
        <v>43132</v>
      </c>
      <c r="B784" t="inlineStr">
        <is>
          <t>baby</t>
        </is>
      </c>
      <c r="C784" t="n">
        <v>165</v>
      </c>
      <c r="D784" t="n">
        <v>172</v>
      </c>
      <c r="E784" t="n">
        <v>29347.87</v>
      </c>
    </row>
    <row r="785">
      <c r="A785" s="19" t="n">
        <v>43132</v>
      </c>
      <c r="B785" t="inlineStr">
        <is>
          <t>bed_bath_table</t>
        </is>
      </c>
      <c r="C785" t="n">
        <v>588</v>
      </c>
      <c r="D785" t="n">
        <v>685</v>
      </c>
      <c r="E785" t="n">
        <v>71610.42999999999</v>
      </c>
    </row>
    <row r="786">
      <c r="A786" s="19" t="n">
        <v>43132</v>
      </c>
      <c r="B786" t="inlineStr">
        <is>
          <t>books_general_interest</t>
        </is>
      </c>
      <c r="C786" t="n">
        <v>28</v>
      </c>
      <c r="D786" t="n">
        <v>28</v>
      </c>
      <c r="E786" t="n">
        <v>2423.55</v>
      </c>
    </row>
    <row r="787">
      <c r="A787" s="19" t="n">
        <v>43132</v>
      </c>
      <c r="B787" t="inlineStr">
        <is>
          <t>books_imported</t>
        </is>
      </c>
      <c r="C787" t="n">
        <v>3</v>
      </c>
      <c r="D787" t="n">
        <v>3</v>
      </c>
      <c r="E787" t="n">
        <v>351.54</v>
      </c>
    </row>
    <row r="788">
      <c r="A788" s="19" t="n">
        <v>43132</v>
      </c>
      <c r="B788" t="inlineStr">
        <is>
          <t>books_technical</t>
        </is>
      </c>
      <c r="C788" t="n">
        <v>23</v>
      </c>
      <c r="D788" t="n">
        <v>26</v>
      </c>
      <c r="E788" t="n">
        <v>1767.71</v>
      </c>
    </row>
    <row r="789">
      <c r="A789" s="19" t="n">
        <v>43132</v>
      </c>
      <c r="B789" t="inlineStr">
        <is>
          <t>christmas_supplies</t>
        </is>
      </c>
      <c r="C789" t="n">
        <v>17</v>
      </c>
      <c r="D789" t="n">
        <v>24</v>
      </c>
      <c r="E789" t="n">
        <v>2671.35</v>
      </c>
    </row>
    <row r="790">
      <c r="A790" s="19" t="n">
        <v>43132</v>
      </c>
      <c r="B790" t="inlineStr">
        <is>
          <t>cine_photo</t>
        </is>
      </c>
      <c r="C790" t="n">
        <v>2</v>
      </c>
      <c r="D790" t="n">
        <v>2</v>
      </c>
      <c r="E790" t="n">
        <v>272.12</v>
      </c>
    </row>
    <row r="791">
      <c r="A791" s="19" t="n">
        <v>43132</v>
      </c>
      <c r="B791" t="inlineStr">
        <is>
          <t>computers_accessories</t>
        </is>
      </c>
      <c r="C791" t="n">
        <v>791</v>
      </c>
      <c r="D791" t="n">
        <v>971</v>
      </c>
      <c r="E791" t="n">
        <v>117216.65</v>
      </c>
    </row>
    <row r="792">
      <c r="A792" s="19" t="n">
        <v>43132</v>
      </c>
      <c r="B792" t="inlineStr">
        <is>
          <t>consoles_games</t>
        </is>
      </c>
      <c r="C792" t="n">
        <v>50</v>
      </c>
      <c r="D792" t="n">
        <v>51</v>
      </c>
      <c r="E792" t="n">
        <v>12786.41</v>
      </c>
    </row>
    <row r="793">
      <c r="A793" s="19" t="n">
        <v>43132</v>
      </c>
      <c r="B793" t="inlineStr">
        <is>
          <t>construction_tools_construction</t>
        </is>
      </c>
      <c r="C793" t="n">
        <v>53</v>
      </c>
      <c r="D793" t="n">
        <v>68</v>
      </c>
      <c r="E793" t="n">
        <v>10123.64</v>
      </c>
    </row>
    <row r="794">
      <c r="A794" s="19" t="n">
        <v>43132</v>
      </c>
      <c r="B794" t="inlineStr">
        <is>
          <t>construction_tools_lights</t>
        </is>
      </c>
      <c r="C794" t="n">
        <v>9</v>
      </c>
      <c r="D794" t="n">
        <v>17</v>
      </c>
      <c r="E794" t="n">
        <v>1967.47</v>
      </c>
    </row>
    <row r="795">
      <c r="A795" s="19" t="n">
        <v>43132</v>
      </c>
      <c r="B795" t="inlineStr">
        <is>
          <t>construction_tools_safety</t>
        </is>
      </c>
      <c r="C795" t="n">
        <v>7</v>
      </c>
      <c r="D795" t="n">
        <v>8</v>
      </c>
      <c r="E795" t="n">
        <v>6152.309999999999</v>
      </c>
    </row>
    <row r="796">
      <c r="A796" s="19" t="n">
        <v>43132</v>
      </c>
      <c r="B796" t="inlineStr">
        <is>
          <t>cool_stuff</t>
        </is>
      </c>
      <c r="C796" t="n">
        <v>176</v>
      </c>
      <c r="D796" t="n">
        <v>180</v>
      </c>
      <c r="E796" t="n">
        <v>33306.8</v>
      </c>
    </row>
    <row r="797">
      <c r="A797" s="19" t="n">
        <v>43132</v>
      </c>
      <c r="B797" t="inlineStr">
        <is>
          <t>costruction_tools_garden</t>
        </is>
      </c>
      <c r="C797" t="n">
        <v>14</v>
      </c>
      <c r="D797" t="n">
        <v>20</v>
      </c>
      <c r="E797" t="n">
        <v>1880.1</v>
      </c>
    </row>
    <row r="798">
      <c r="A798" s="19" t="n">
        <v>43132</v>
      </c>
      <c r="B798" t="inlineStr">
        <is>
          <t>costruction_tools_tools</t>
        </is>
      </c>
      <c r="C798" t="n">
        <v>11</v>
      </c>
      <c r="D798" t="n">
        <v>12</v>
      </c>
      <c r="E798" t="n">
        <v>1539.82</v>
      </c>
    </row>
    <row r="799">
      <c r="A799" s="19" t="n">
        <v>43132</v>
      </c>
      <c r="B799" t="inlineStr">
        <is>
          <t>diapers_and_hygiene</t>
        </is>
      </c>
      <c r="C799" t="n">
        <v>1</v>
      </c>
      <c r="D799" t="n">
        <v>4</v>
      </c>
      <c r="E799" t="n">
        <v>150.76</v>
      </c>
    </row>
    <row r="800">
      <c r="A800" s="19" t="n">
        <v>43132</v>
      </c>
      <c r="B800" t="inlineStr">
        <is>
          <t>drinks</t>
        </is>
      </c>
      <c r="C800" t="n">
        <v>26</v>
      </c>
      <c r="D800" t="n">
        <v>31</v>
      </c>
      <c r="E800" t="n">
        <v>2355.68</v>
      </c>
    </row>
    <row r="801">
      <c r="A801" s="19" t="n">
        <v>43132</v>
      </c>
      <c r="B801" t="inlineStr">
        <is>
          <t>dvds_blu_ray</t>
        </is>
      </c>
      <c r="C801" t="n">
        <v>1</v>
      </c>
      <c r="D801" t="n">
        <v>1</v>
      </c>
      <c r="E801" t="n">
        <v>42.53</v>
      </c>
    </row>
    <row r="802">
      <c r="A802" s="19" t="n">
        <v>43132</v>
      </c>
      <c r="B802" t="inlineStr">
        <is>
          <t>electronics</t>
        </is>
      </c>
      <c r="C802" t="n">
        <v>300</v>
      </c>
      <c r="D802" t="n">
        <v>331</v>
      </c>
      <c r="E802" t="n">
        <v>20071.12</v>
      </c>
    </row>
    <row r="803">
      <c r="A803" s="19" t="n">
        <v>43132</v>
      </c>
      <c r="B803" t="inlineStr">
        <is>
          <t>fashio_female_clothing</t>
        </is>
      </c>
      <c r="C803" t="n">
        <v>1</v>
      </c>
      <c r="D803" t="n">
        <v>1</v>
      </c>
      <c r="E803" t="n">
        <v>45.09</v>
      </c>
    </row>
    <row r="804">
      <c r="A804" s="19" t="n">
        <v>43132</v>
      </c>
      <c r="B804" t="inlineStr">
        <is>
          <t>fashion_bags_accessories</t>
        </is>
      </c>
      <c r="C804" t="n">
        <v>102</v>
      </c>
      <c r="D804" t="n">
        <v>107</v>
      </c>
      <c r="E804" t="n">
        <v>11496.55</v>
      </c>
    </row>
    <row r="805">
      <c r="A805" s="19" t="n">
        <v>43132</v>
      </c>
      <c r="B805" t="inlineStr">
        <is>
          <t>fashion_male_clothing</t>
        </is>
      </c>
      <c r="C805" t="n">
        <v>3</v>
      </c>
      <c r="D805" t="n">
        <v>3</v>
      </c>
      <c r="E805" t="n">
        <v>446.86</v>
      </c>
    </row>
    <row r="806">
      <c r="A806" s="19" t="n">
        <v>43132</v>
      </c>
      <c r="B806" t="inlineStr">
        <is>
          <t>fashion_shoes</t>
        </is>
      </c>
      <c r="C806" t="n">
        <v>10</v>
      </c>
      <c r="D806" t="n">
        <v>11</v>
      </c>
      <c r="E806" t="n">
        <v>1251.52</v>
      </c>
    </row>
    <row r="807">
      <c r="A807" s="19" t="n">
        <v>43132</v>
      </c>
      <c r="B807" t="inlineStr">
        <is>
          <t>fashion_underwear_beach</t>
        </is>
      </c>
      <c r="C807" t="n">
        <v>7</v>
      </c>
      <c r="D807" t="n">
        <v>7</v>
      </c>
      <c r="E807" t="n">
        <v>505.29</v>
      </c>
    </row>
    <row r="808">
      <c r="A808" s="19" t="n">
        <v>43132</v>
      </c>
      <c r="B808" t="inlineStr">
        <is>
          <t>fixed_telephony</t>
        </is>
      </c>
      <c r="C808" t="n">
        <v>9</v>
      </c>
      <c r="D808" t="n">
        <v>11</v>
      </c>
      <c r="E808" t="n">
        <v>4918.299999999999</v>
      </c>
    </row>
    <row r="809">
      <c r="A809" s="19" t="n">
        <v>43132</v>
      </c>
      <c r="B809" t="inlineStr">
        <is>
          <t>flowers</t>
        </is>
      </c>
      <c r="C809" t="n">
        <v>4</v>
      </c>
      <c r="D809" t="n">
        <v>4</v>
      </c>
      <c r="E809" t="n">
        <v>187.7</v>
      </c>
    </row>
    <row r="810">
      <c r="A810" s="19" t="n">
        <v>43132</v>
      </c>
      <c r="B810" t="inlineStr">
        <is>
          <t>food</t>
        </is>
      </c>
      <c r="C810" t="n">
        <v>30</v>
      </c>
      <c r="D810" t="n">
        <v>38</v>
      </c>
      <c r="E810" t="n">
        <v>2269.53</v>
      </c>
    </row>
    <row r="811">
      <c r="A811" s="19" t="n">
        <v>43132</v>
      </c>
      <c r="B811" t="inlineStr">
        <is>
          <t>food_drink</t>
        </is>
      </c>
      <c r="C811" t="n">
        <v>20</v>
      </c>
      <c r="D811" t="n">
        <v>23</v>
      </c>
      <c r="E811" t="n">
        <v>1331.43</v>
      </c>
    </row>
    <row r="812">
      <c r="A812" s="19" t="n">
        <v>43132</v>
      </c>
      <c r="B812" t="inlineStr">
        <is>
          <t>furniture_bedroom</t>
        </is>
      </c>
      <c r="C812" t="n">
        <v>6</v>
      </c>
      <c r="D812" t="n">
        <v>7</v>
      </c>
      <c r="E812" t="n">
        <v>1150.25</v>
      </c>
    </row>
    <row r="813">
      <c r="A813" s="19" t="n">
        <v>43132</v>
      </c>
      <c r="B813" t="inlineStr">
        <is>
          <t>furniture_decor</t>
        </is>
      </c>
      <c r="C813" t="n">
        <v>336</v>
      </c>
      <c r="D813" t="n">
        <v>422</v>
      </c>
      <c r="E813" t="n">
        <v>46059.76</v>
      </c>
    </row>
    <row r="814">
      <c r="A814" s="19" t="n">
        <v>43132</v>
      </c>
      <c r="B814" t="inlineStr">
        <is>
          <t>furniture_living_room</t>
        </is>
      </c>
      <c r="C814" t="n">
        <v>19</v>
      </c>
      <c r="D814" t="n">
        <v>26</v>
      </c>
      <c r="E814" t="n">
        <v>5962.08</v>
      </c>
    </row>
    <row r="815">
      <c r="A815" s="19" t="n">
        <v>43132</v>
      </c>
      <c r="B815" t="inlineStr">
        <is>
          <t>furniture_mattress_and_upholstery</t>
        </is>
      </c>
      <c r="C815" t="n">
        <v>5</v>
      </c>
      <c r="D815" t="n">
        <v>5</v>
      </c>
      <c r="E815" t="n">
        <v>597.6900000000001</v>
      </c>
    </row>
    <row r="816">
      <c r="A816" s="19" t="n">
        <v>43132</v>
      </c>
      <c r="B816" t="inlineStr">
        <is>
          <t>garden_tools</t>
        </is>
      </c>
      <c r="C816" t="n">
        <v>229</v>
      </c>
      <c r="D816" t="n">
        <v>293</v>
      </c>
      <c r="E816" t="n">
        <v>33260.06</v>
      </c>
    </row>
    <row r="817">
      <c r="A817" s="19" t="n">
        <v>43132</v>
      </c>
      <c r="B817" t="inlineStr">
        <is>
          <t>health_beauty</t>
        </is>
      </c>
      <c r="C817" t="n">
        <v>595</v>
      </c>
      <c r="D817" t="n">
        <v>650</v>
      </c>
      <c r="E817" t="n">
        <v>95463.05</v>
      </c>
    </row>
    <row r="818">
      <c r="A818" s="19" t="n">
        <v>43132</v>
      </c>
      <c r="B818" t="inlineStr">
        <is>
          <t>home_appliances</t>
        </is>
      </c>
      <c r="C818" t="n">
        <v>47</v>
      </c>
      <c r="D818" t="n">
        <v>48</v>
      </c>
      <c r="E818" t="n">
        <v>6362.58</v>
      </c>
    </row>
    <row r="819">
      <c r="A819" s="19" t="n">
        <v>43132</v>
      </c>
      <c r="B819" t="inlineStr">
        <is>
          <t>home_appliances_2</t>
        </is>
      </c>
      <c r="C819" t="n">
        <v>21</v>
      </c>
      <c r="D819" t="n">
        <v>21</v>
      </c>
      <c r="E819" t="n">
        <v>9986.74</v>
      </c>
    </row>
    <row r="820">
      <c r="A820" s="19" t="n">
        <v>43132</v>
      </c>
      <c r="B820" t="inlineStr">
        <is>
          <t>home_comfort_2</t>
        </is>
      </c>
      <c r="C820" t="n">
        <v>2</v>
      </c>
      <c r="D820" t="n">
        <v>3</v>
      </c>
      <c r="E820" t="n">
        <v>84</v>
      </c>
    </row>
    <row r="821">
      <c r="A821" s="19" t="n">
        <v>43132</v>
      </c>
      <c r="B821" t="inlineStr">
        <is>
          <t>home_confort</t>
        </is>
      </c>
      <c r="C821" t="n">
        <v>20</v>
      </c>
      <c r="D821" t="n">
        <v>21</v>
      </c>
      <c r="E821" t="n">
        <v>3397.87</v>
      </c>
    </row>
    <row r="822">
      <c r="A822" s="19" t="n">
        <v>43132</v>
      </c>
      <c r="B822" t="inlineStr">
        <is>
          <t>home_construction</t>
        </is>
      </c>
      <c r="C822" t="n">
        <v>31</v>
      </c>
      <c r="D822" t="n">
        <v>38</v>
      </c>
      <c r="E822" t="n">
        <v>5969.440000000001</v>
      </c>
    </row>
    <row r="823">
      <c r="A823" s="19" t="n">
        <v>43132</v>
      </c>
      <c r="B823" t="inlineStr">
        <is>
          <t>housewares</t>
        </is>
      </c>
      <c r="C823" t="n">
        <v>334</v>
      </c>
      <c r="D823" t="n">
        <v>391</v>
      </c>
      <c r="E823" t="n">
        <v>43264.86</v>
      </c>
    </row>
    <row r="824">
      <c r="A824" s="19" t="n">
        <v>43132</v>
      </c>
      <c r="B824" t="inlineStr">
        <is>
          <t>industry_commerce_and_business</t>
        </is>
      </c>
      <c r="C824" t="n">
        <v>29</v>
      </c>
      <c r="D824" t="n">
        <v>37</v>
      </c>
      <c r="E824" t="n">
        <v>5521.5</v>
      </c>
    </row>
    <row r="825">
      <c r="A825" s="19" t="n">
        <v>43132</v>
      </c>
      <c r="B825" t="inlineStr">
        <is>
          <t>kitchen_dining_laundry_garden_furniture</t>
        </is>
      </c>
      <c r="C825" t="n">
        <v>16</v>
      </c>
      <c r="D825" t="n">
        <v>19</v>
      </c>
      <c r="E825" t="n">
        <v>5484.08</v>
      </c>
    </row>
    <row r="826">
      <c r="A826" s="19" t="n">
        <v>43132</v>
      </c>
      <c r="B826" t="inlineStr">
        <is>
          <t>luggage_accessories</t>
        </is>
      </c>
      <c r="C826" t="n">
        <v>43</v>
      </c>
      <c r="D826" t="n">
        <v>45</v>
      </c>
      <c r="E826" t="n">
        <v>7576.110000000001</v>
      </c>
    </row>
    <row r="827">
      <c r="A827" s="19" t="n">
        <v>43132</v>
      </c>
      <c r="B827" t="inlineStr">
        <is>
          <t>market_place</t>
        </is>
      </c>
      <c r="C827" t="n">
        <v>20</v>
      </c>
      <c r="D827" t="n">
        <v>28</v>
      </c>
      <c r="E827" t="n">
        <v>2366.34</v>
      </c>
    </row>
    <row r="828">
      <c r="A828" s="19" t="n">
        <v>43132</v>
      </c>
      <c r="B828" t="inlineStr">
        <is>
          <t>music</t>
        </is>
      </c>
      <c r="C828" t="n">
        <v>2</v>
      </c>
      <c r="D828" t="n">
        <v>2</v>
      </c>
      <c r="E828" t="n">
        <v>277.24</v>
      </c>
    </row>
    <row r="829">
      <c r="A829" s="19" t="n">
        <v>43132</v>
      </c>
      <c r="B829" t="inlineStr">
        <is>
          <t>musical_instruments</t>
        </is>
      </c>
      <c r="C829" t="n">
        <v>39</v>
      </c>
      <c r="D829" t="n">
        <v>44</v>
      </c>
      <c r="E829" t="n">
        <v>10064.38</v>
      </c>
    </row>
    <row r="830">
      <c r="A830" s="19" t="n">
        <v>43132</v>
      </c>
      <c r="B830" t="inlineStr">
        <is>
          <t>office_furniture</t>
        </is>
      </c>
      <c r="C830" t="n">
        <v>70</v>
      </c>
      <c r="D830" t="n">
        <v>107</v>
      </c>
      <c r="E830" t="n">
        <v>21419.84</v>
      </c>
    </row>
    <row r="831">
      <c r="A831" s="19" t="n">
        <v>43132</v>
      </c>
      <c r="B831" t="inlineStr">
        <is>
          <t>pc_gamer</t>
        </is>
      </c>
      <c r="C831" t="n">
        <v>1</v>
      </c>
      <c r="D831" t="n">
        <v>1</v>
      </c>
      <c r="E831" t="n">
        <v>150.03</v>
      </c>
    </row>
    <row r="832">
      <c r="A832" s="19" t="n">
        <v>43132</v>
      </c>
      <c r="B832" t="inlineStr">
        <is>
          <t>perfumery</t>
        </is>
      </c>
      <c r="C832" t="n">
        <v>194</v>
      </c>
      <c r="D832" t="n">
        <v>211</v>
      </c>
      <c r="E832" t="n">
        <v>23267.99</v>
      </c>
    </row>
    <row r="833">
      <c r="A833" s="19" t="n">
        <v>43132</v>
      </c>
      <c r="B833" t="inlineStr">
        <is>
          <t>pet_shop</t>
        </is>
      </c>
      <c r="C833" t="n">
        <v>86</v>
      </c>
      <c r="D833" t="n">
        <v>99</v>
      </c>
      <c r="E833" t="n">
        <v>11266.8</v>
      </c>
    </row>
    <row r="834">
      <c r="A834" s="19" t="n">
        <v>43132</v>
      </c>
      <c r="B834" t="inlineStr">
        <is>
          <t>signaling_and_security</t>
        </is>
      </c>
      <c r="C834" t="n">
        <v>10</v>
      </c>
      <c r="D834" t="n">
        <v>15</v>
      </c>
      <c r="E834" t="n">
        <v>987.67</v>
      </c>
    </row>
    <row r="835">
      <c r="A835" s="19" t="n">
        <v>43132</v>
      </c>
      <c r="B835" t="inlineStr">
        <is>
          <t>small_appliances</t>
        </is>
      </c>
      <c r="C835" t="n">
        <v>30</v>
      </c>
      <c r="D835" t="n">
        <v>32</v>
      </c>
      <c r="E835" t="n">
        <v>5912.74</v>
      </c>
    </row>
    <row r="836">
      <c r="A836" s="19" t="n">
        <v>43132</v>
      </c>
      <c r="B836" t="inlineStr">
        <is>
          <t>small_appliances_home_oven_and_coffee</t>
        </is>
      </c>
      <c r="C836" t="n">
        <v>5</v>
      </c>
      <c r="D836" t="n">
        <v>5</v>
      </c>
      <c r="E836" t="n">
        <v>3213.64</v>
      </c>
    </row>
    <row r="837">
      <c r="A837" s="19" t="n">
        <v>43132</v>
      </c>
      <c r="B837" t="inlineStr">
        <is>
          <t>sports_leisure</t>
        </is>
      </c>
      <c r="C837" t="n">
        <v>571</v>
      </c>
      <c r="D837" t="n">
        <v>637</v>
      </c>
      <c r="E837" t="n">
        <v>86346.83</v>
      </c>
    </row>
    <row r="838">
      <c r="A838" s="19" t="n">
        <v>43132</v>
      </c>
      <c r="B838" t="inlineStr">
        <is>
          <t>stationery</t>
        </is>
      </c>
      <c r="C838" t="n">
        <v>131</v>
      </c>
      <c r="D838" t="n">
        <v>145</v>
      </c>
      <c r="E838" t="n">
        <v>12442.23</v>
      </c>
    </row>
    <row r="839">
      <c r="A839" s="19" t="n">
        <v>43132</v>
      </c>
      <c r="B839" t="inlineStr">
        <is>
          <t>tablets_printing_image</t>
        </is>
      </c>
      <c r="C839" t="n">
        <v>12</v>
      </c>
      <c r="D839" t="n">
        <v>13</v>
      </c>
      <c r="E839" t="n">
        <v>866.49</v>
      </c>
    </row>
    <row r="840">
      <c r="A840" s="19" t="n">
        <v>43132</v>
      </c>
      <c r="B840" t="inlineStr">
        <is>
          <t>telephony</t>
        </is>
      </c>
      <c r="C840" t="n">
        <v>328</v>
      </c>
      <c r="D840" t="n">
        <v>354</v>
      </c>
      <c r="E840" t="n">
        <v>18495.86</v>
      </c>
    </row>
    <row r="841">
      <c r="A841" s="19" t="n">
        <v>43132</v>
      </c>
      <c r="B841" t="inlineStr">
        <is>
          <t>toys</t>
        </is>
      </c>
      <c r="C841" t="n">
        <v>130</v>
      </c>
      <c r="D841" t="n">
        <v>139</v>
      </c>
      <c r="E841" t="n">
        <v>16384.85</v>
      </c>
    </row>
    <row r="842">
      <c r="A842" s="19" t="n">
        <v>43132</v>
      </c>
      <c r="B842" t="inlineStr">
        <is>
          <t>unknown</t>
        </is>
      </c>
      <c r="C842" t="n">
        <v>107</v>
      </c>
      <c r="D842" t="n">
        <v>117</v>
      </c>
      <c r="E842" t="n">
        <v>14677.25</v>
      </c>
    </row>
    <row r="843">
      <c r="A843" s="19" t="n">
        <v>43132</v>
      </c>
      <c r="B843" t="inlineStr">
        <is>
          <t>watches_gifts</t>
        </is>
      </c>
      <c r="C843" t="n">
        <v>304</v>
      </c>
      <c r="D843" t="n">
        <v>324</v>
      </c>
      <c r="E843" t="n">
        <v>66599.36</v>
      </c>
    </row>
    <row r="844">
      <c r="A844" s="19" t="n">
        <v>43160</v>
      </c>
      <c r="B844" t="inlineStr">
        <is>
          <t>agro_industry_and_commerce</t>
        </is>
      </c>
      <c r="C844" t="n">
        <v>24</v>
      </c>
      <c r="D844" t="n">
        <v>26</v>
      </c>
      <c r="E844" t="n">
        <v>5639.49</v>
      </c>
    </row>
    <row r="845">
      <c r="A845" s="19" t="n">
        <v>43160</v>
      </c>
      <c r="B845" t="inlineStr">
        <is>
          <t>air_conditioning</t>
        </is>
      </c>
      <c r="C845" t="n">
        <v>23</v>
      </c>
      <c r="D845" t="n">
        <v>24</v>
      </c>
      <c r="E845" t="n">
        <v>3023.01</v>
      </c>
    </row>
    <row r="846">
      <c r="A846" s="19" t="n">
        <v>43160</v>
      </c>
      <c r="B846" t="inlineStr">
        <is>
          <t>art</t>
        </is>
      </c>
      <c r="C846" t="n">
        <v>7</v>
      </c>
      <c r="D846" t="n">
        <v>7</v>
      </c>
      <c r="E846" t="n">
        <v>581.6600000000001</v>
      </c>
    </row>
    <row r="847">
      <c r="A847" s="19" t="n">
        <v>43160</v>
      </c>
      <c r="B847" t="inlineStr">
        <is>
          <t>audio</t>
        </is>
      </c>
      <c r="C847" t="n">
        <v>33</v>
      </c>
      <c r="D847" t="n">
        <v>34</v>
      </c>
      <c r="E847" t="n">
        <v>11264.37</v>
      </c>
    </row>
    <row r="848">
      <c r="A848" s="19" t="n">
        <v>43160</v>
      </c>
      <c r="B848" t="inlineStr">
        <is>
          <t>auto</t>
        </is>
      </c>
      <c r="C848" t="n">
        <v>317</v>
      </c>
      <c r="D848" t="n">
        <v>336</v>
      </c>
      <c r="E848" t="n">
        <v>51966.1</v>
      </c>
    </row>
    <row r="849">
      <c r="A849" s="19" t="n">
        <v>43160</v>
      </c>
      <c r="B849" t="inlineStr">
        <is>
          <t>baby</t>
        </is>
      </c>
      <c r="C849" t="n">
        <v>208</v>
      </c>
      <c r="D849" t="n">
        <v>215</v>
      </c>
      <c r="E849" t="n">
        <v>45831.15</v>
      </c>
    </row>
    <row r="850">
      <c r="A850" s="19" t="n">
        <v>43160</v>
      </c>
      <c r="B850" t="inlineStr">
        <is>
          <t>bed_bath_table</t>
        </is>
      </c>
      <c r="C850" t="n">
        <v>652</v>
      </c>
      <c r="D850" t="n">
        <v>777</v>
      </c>
      <c r="E850" t="n">
        <v>82243.3</v>
      </c>
    </row>
    <row r="851">
      <c r="A851" s="19" t="n">
        <v>43160</v>
      </c>
      <c r="B851" t="inlineStr">
        <is>
          <t>books_general_interest</t>
        </is>
      </c>
      <c r="C851" t="n">
        <v>33</v>
      </c>
      <c r="D851" t="n">
        <v>38</v>
      </c>
      <c r="E851" t="n">
        <v>2251.61</v>
      </c>
    </row>
    <row r="852">
      <c r="A852" s="19" t="n">
        <v>43160</v>
      </c>
      <c r="B852" t="inlineStr">
        <is>
          <t>books_imported</t>
        </is>
      </c>
      <c r="C852" t="n">
        <v>2</v>
      </c>
      <c r="D852" t="n">
        <v>3</v>
      </c>
      <c r="E852" t="n">
        <v>284.69</v>
      </c>
    </row>
    <row r="853">
      <c r="A853" s="19" t="n">
        <v>43160</v>
      </c>
      <c r="B853" t="inlineStr">
        <is>
          <t>books_technical</t>
        </is>
      </c>
      <c r="C853" t="n">
        <v>17</v>
      </c>
      <c r="D853" t="n">
        <v>17</v>
      </c>
      <c r="E853" t="n">
        <v>1232.47</v>
      </c>
    </row>
    <row r="854">
      <c r="A854" s="19" t="n">
        <v>43160</v>
      </c>
      <c r="B854" t="inlineStr">
        <is>
          <t>christmas_supplies</t>
        </is>
      </c>
      <c r="C854" t="n">
        <v>12</v>
      </c>
      <c r="D854" t="n">
        <v>12</v>
      </c>
      <c r="E854" t="n">
        <v>1194.29</v>
      </c>
    </row>
    <row r="855">
      <c r="A855" s="19" t="n">
        <v>43160</v>
      </c>
      <c r="B855" t="inlineStr">
        <is>
          <t>cine_photo</t>
        </is>
      </c>
      <c r="C855" t="n">
        <v>6</v>
      </c>
      <c r="D855" t="n">
        <v>7</v>
      </c>
      <c r="E855" t="n">
        <v>846.54</v>
      </c>
    </row>
    <row r="856">
      <c r="A856" s="19" t="n">
        <v>43160</v>
      </c>
      <c r="B856" t="inlineStr">
        <is>
          <t>computers_accessories</t>
        </is>
      </c>
      <c r="C856" t="n">
        <v>630</v>
      </c>
      <c r="D856" t="n">
        <v>750</v>
      </c>
      <c r="E856" t="n">
        <v>99444.68000000001</v>
      </c>
    </row>
    <row r="857">
      <c r="A857" s="19" t="n">
        <v>43160</v>
      </c>
      <c r="B857" t="inlineStr">
        <is>
          <t>consoles_games</t>
        </is>
      </c>
      <c r="C857" t="n">
        <v>53</v>
      </c>
      <c r="D857" t="n">
        <v>57</v>
      </c>
      <c r="E857" t="n">
        <v>13011.11</v>
      </c>
    </row>
    <row r="858">
      <c r="A858" s="19" t="n">
        <v>43160</v>
      </c>
      <c r="B858" t="inlineStr">
        <is>
          <t>construction_tools_construction</t>
        </is>
      </c>
      <c r="C858" t="n">
        <v>48</v>
      </c>
      <c r="D858" t="n">
        <v>66</v>
      </c>
      <c r="E858" t="n">
        <v>11020.38</v>
      </c>
    </row>
    <row r="859">
      <c r="A859" s="19" t="n">
        <v>43160</v>
      </c>
      <c r="B859" t="inlineStr">
        <is>
          <t>construction_tools_lights</t>
        </is>
      </c>
      <c r="C859" t="n">
        <v>12</v>
      </c>
      <c r="D859" t="n">
        <v>13</v>
      </c>
      <c r="E859" t="n">
        <v>3138.15</v>
      </c>
    </row>
    <row r="860">
      <c r="A860" s="19" t="n">
        <v>43160</v>
      </c>
      <c r="B860" t="inlineStr">
        <is>
          <t>construction_tools_safety</t>
        </is>
      </c>
      <c r="C860" t="n">
        <v>13</v>
      </c>
      <c r="D860" t="n">
        <v>22</v>
      </c>
      <c r="E860" t="n">
        <v>5789.78</v>
      </c>
    </row>
    <row r="861">
      <c r="A861" s="19" t="n">
        <v>43160</v>
      </c>
      <c r="B861" t="inlineStr">
        <is>
          <t>cool_stuff</t>
        </is>
      </c>
      <c r="C861" t="n">
        <v>239</v>
      </c>
      <c r="D861" t="n">
        <v>253</v>
      </c>
      <c r="E861" t="n">
        <v>43264.64</v>
      </c>
    </row>
    <row r="862">
      <c r="A862" s="19" t="n">
        <v>43160</v>
      </c>
      <c r="B862" t="inlineStr">
        <is>
          <t>costruction_tools_garden</t>
        </is>
      </c>
      <c r="C862" t="n">
        <v>19</v>
      </c>
      <c r="D862" t="n">
        <v>22</v>
      </c>
      <c r="E862" t="n">
        <v>2535.92</v>
      </c>
    </row>
    <row r="863">
      <c r="A863" s="19" t="n">
        <v>43160</v>
      </c>
      <c r="B863" t="inlineStr">
        <is>
          <t>costruction_tools_tools</t>
        </is>
      </c>
      <c r="C863" t="n">
        <v>8</v>
      </c>
      <c r="D863" t="n">
        <v>9</v>
      </c>
      <c r="E863" t="n">
        <v>1154.77</v>
      </c>
    </row>
    <row r="864">
      <c r="A864" s="19" t="n">
        <v>43160</v>
      </c>
      <c r="B864" t="inlineStr">
        <is>
          <t>diapers_and_hygiene</t>
        </is>
      </c>
      <c r="C864" t="n">
        <v>1</v>
      </c>
      <c r="D864" t="n">
        <v>5</v>
      </c>
      <c r="E864" t="n">
        <v>193.55</v>
      </c>
    </row>
    <row r="865">
      <c r="A865" s="19" t="n">
        <v>43160</v>
      </c>
      <c r="B865" t="inlineStr">
        <is>
          <t>drinks</t>
        </is>
      </c>
      <c r="C865" t="n">
        <v>20</v>
      </c>
      <c r="D865" t="n">
        <v>21</v>
      </c>
      <c r="E865" t="n">
        <v>1268.52</v>
      </c>
    </row>
    <row r="866">
      <c r="A866" s="19" t="n">
        <v>43160</v>
      </c>
      <c r="B866" t="inlineStr">
        <is>
          <t>dvds_blu_ray</t>
        </is>
      </c>
      <c r="C866" t="n">
        <v>2</v>
      </c>
      <c r="D866" t="n">
        <v>2</v>
      </c>
      <c r="E866" t="n">
        <v>89.71000000000001</v>
      </c>
    </row>
    <row r="867">
      <c r="A867" s="19" t="n">
        <v>43160</v>
      </c>
      <c r="B867" t="inlineStr">
        <is>
          <t>electronics</t>
        </is>
      </c>
      <c r="C867" t="n">
        <v>237</v>
      </c>
      <c r="D867" t="n">
        <v>254</v>
      </c>
      <c r="E867" t="n">
        <v>16693.3</v>
      </c>
    </row>
    <row r="868">
      <c r="A868" s="19" t="n">
        <v>43160</v>
      </c>
      <c r="B868" t="inlineStr">
        <is>
          <t>fashio_female_clothing</t>
        </is>
      </c>
      <c r="C868" t="n">
        <v>1</v>
      </c>
      <c r="D868" t="n">
        <v>4</v>
      </c>
      <c r="E868" t="n">
        <v>154.52</v>
      </c>
    </row>
    <row r="869">
      <c r="A869" s="19" t="n">
        <v>43160</v>
      </c>
      <c r="B869" t="inlineStr">
        <is>
          <t>fashion_bags_accessories</t>
        </is>
      </c>
      <c r="C869" t="n">
        <v>129</v>
      </c>
      <c r="D869" t="n">
        <v>137</v>
      </c>
      <c r="E869" t="n">
        <v>12525.19</v>
      </c>
    </row>
    <row r="870">
      <c r="A870" s="19" t="n">
        <v>43160</v>
      </c>
      <c r="B870" t="inlineStr">
        <is>
          <t>fashion_childrens_clothes</t>
        </is>
      </c>
      <c r="C870" t="n">
        <v>2</v>
      </c>
      <c r="D870" t="n">
        <v>2</v>
      </c>
      <c r="E870" t="n">
        <v>96.56</v>
      </c>
    </row>
    <row r="871">
      <c r="A871" s="19" t="n">
        <v>43160</v>
      </c>
      <c r="B871" t="inlineStr">
        <is>
          <t>fashion_shoes</t>
        </is>
      </c>
      <c r="C871" t="n">
        <v>11</v>
      </c>
      <c r="D871" t="n">
        <v>11</v>
      </c>
      <c r="E871" t="n">
        <v>1286.57</v>
      </c>
    </row>
    <row r="872">
      <c r="A872" s="19" t="n">
        <v>43160</v>
      </c>
      <c r="B872" t="inlineStr">
        <is>
          <t>fashion_sport</t>
        </is>
      </c>
      <c r="C872" t="n">
        <v>1</v>
      </c>
      <c r="D872" t="n">
        <v>1</v>
      </c>
      <c r="E872" t="n">
        <v>97.39</v>
      </c>
    </row>
    <row r="873">
      <c r="A873" s="19" t="n">
        <v>43160</v>
      </c>
      <c r="B873" t="inlineStr">
        <is>
          <t>fashion_underwear_beach</t>
        </is>
      </c>
      <c r="C873" t="n">
        <v>5</v>
      </c>
      <c r="D873" t="n">
        <v>5</v>
      </c>
      <c r="E873" t="n">
        <v>368.41</v>
      </c>
    </row>
    <row r="874">
      <c r="A874" s="19" t="n">
        <v>43160</v>
      </c>
      <c r="B874" t="inlineStr">
        <is>
          <t>fixed_telephony</t>
        </is>
      </c>
      <c r="C874" t="n">
        <v>12</v>
      </c>
      <c r="D874" t="n">
        <v>14</v>
      </c>
      <c r="E874" t="n">
        <v>2200.84</v>
      </c>
    </row>
    <row r="875">
      <c r="A875" s="19" t="n">
        <v>43160</v>
      </c>
      <c r="B875" t="inlineStr">
        <is>
          <t>flowers</t>
        </is>
      </c>
      <c r="C875" t="n">
        <v>3</v>
      </c>
      <c r="D875" t="n">
        <v>3</v>
      </c>
      <c r="E875" t="n">
        <v>136.41</v>
      </c>
    </row>
    <row r="876">
      <c r="A876" s="19" t="n">
        <v>43160</v>
      </c>
      <c r="B876" t="inlineStr">
        <is>
          <t>food</t>
        </is>
      </c>
      <c r="C876" t="n">
        <v>33</v>
      </c>
      <c r="D876" t="n">
        <v>35</v>
      </c>
      <c r="E876" t="n">
        <v>2068.59</v>
      </c>
    </row>
    <row r="877">
      <c r="A877" s="19" t="n">
        <v>43160</v>
      </c>
      <c r="B877" t="inlineStr">
        <is>
          <t>food_drink</t>
        </is>
      </c>
      <c r="C877" t="n">
        <v>17</v>
      </c>
      <c r="D877" t="n">
        <v>19</v>
      </c>
      <c r="E877" t="n">
        <v>2623.5</v>
      </c>
    </row>
    <row r="878">
      <c r="A878" s="19" t="n">
        <v>43160</v>
      </c>
      <c r="B878" t="inlineStr">
        <is>
          <t>furniture_bedroom</t>
        </is>
      </c>
      <c r="C878" t="n">
        <v>6</v>
      </c>
      <c r="D878" t="n">
        <v>6</v>
      </c>
      <c r="E878" t="n">
        <v>1265.69</v>
      </c>
    </row>
    <row r="879">
      <c r="A879" s="19" t="n">
        <v>43160</v>
      </c>
      <c r="B879" t="inlineStr">
        <is>
          <t>furniture_decor</t>
        </is>
      </c>
      <c r="C879" t="n">
        <v>430</v>
      </c>
      <c r="D879" t="n">
        <v>583</v>
      </c>
      <c r="E879" t="n">
        <v>64616.04</v>
      </c>
    </row>
    <row r="880">
      <c r="A880" s="19" t="n">
        <v>43160</v>
      </c>
      <c r="B880" t="inlineStr">
        <is>
          <t>furniture_living_room</t>
        </is>
      </c>
      <c r="C880" t="n">
        <v>19</v>
      </c>
      <c r="D880" t="n">
        <v>19</v>
      </c>
      <c r="E880" t="n">
        <v>4279.8</v>
      </c>
    </row>
    <row r="881">
      <c r="A881" s="19" t="n">
        <v>43160</v>
      </c>
      <c r="B881" t="inlineStr">
        <is>
          <t>furniture_mattress_and_upholstery</t>
        </is>
      </c>
      <c r="C881" t="n">
        <v>4</v>
      </c>
      <c r="D881" t="n">
        <v>4</v>
      </c>
      <c r="E881" t="n">
        <v>584.9300000000001</v>
      </c>
    </row>
    <row r="882">
      <c r="A882" s="19" t="n">
        <v>43160</v>
      </c>
      <c r="B882" t="inlineStr">
        <is>
          <t>garden_tools</t>
        </is>
      </c>
      <c r="C882" t="n">
        <v>199</v>
      </c>
      <c r="D882" t="n">
        <v>253</v>
      </c>
      <c r="E882" t="n">
        <v>33069.14</v>
      </c>
    </row>
    <row r="883">
      <c r="A883" s="19" t="n">
        <v>43160</v>
      </c>
      <c r="B883" t="inlineStr">
        <is>
          <t>health_beauty</t>
        </is>
      </c>
      <c r="C883" t="n">
        <v>605</v>
      </c>
      <c r="D883" t="n">
        <v>656</v>
      </c>
      <c r="E883" t="n">
        <v>97035.83</v>
      </c>
    </row>
    <row r="884">
      <c r="A884" s="19" t="n">
        <v>43160</v>
      </c>
      <c r="B884" t="inlineStr">
        <is>
          <t>home_appliances</t>
        </is>
      </c>
      <c r="C884" t="n">
        <v>70</v>
      </c>
      <c r="D884" t="n">
        <v>70</v>
      </c>
      <c r="E884" t="n">
        <v>11350.26</v>
      </c>
    </row>
    <row r="885">
      <c r="A885" s="19" t="n">
        <v>43160</v>
      </c>
      <c r="B885" t="inlineStr">
        <is>
          <t>home_appliances_2</t>
        </is>
      </c>
      <c r="C885" t="n">
        <v>12</v>
      </c>
      <c r="D885" t="n">
        <v>12</v>
      </c>
      <c r="E885" t="n">
        <v>6085.99</v>
      </c>
    </row>
    <row r="886">
      <c r="A886" s="19" t="n">
        <v>43160</v>
      </c>
      <c r="B886" t="inlineStr">
        <is>
          <t>home_comfort_2</t>
        </is>
      </c>
      <c r="C886" t="n">
        <v>1</v>
      </c>
      <c r="D886" t="n">
        <v>1</v>
      </c>
      <c r="E886" t="n">
        <v>44.33</v>
      </c>
    </row>
    <row r="887">
      <c r="A887" s="19" t="n">
        <v>43160</v>
      </c>
      <c r="B887" t="inlineStr">
        <is>
          <t>home_confort</t>
        </is>
      </c>
      <c r="C887" t="n">
        <v>21</v>
      </c>
      <c r="D887" t="n">
        <v>21</v>
      </c>
      <c r="E887" t="n">
        <v>3060.62</v>
      </c>
    </row>
    <row r="888">
      <c r="A888" s="19" t="n">
        <v>43160</v>
      </c>
      <c r="B888" t="inlineStr">
        <is>
          <t>home_construction</t>
        </is>
      </c>
      <c r="C888" t="n">
        <v>33</v>
      </c>
      <c r="D888" t="n">
        <v>43</v>
      </c>
      <c r="E888" t="n">
        <v>6322.639999999999</v>
      </c>
    </row>
    <row r="889">
      <c r="A889" s="19" t="n">
        <v>43160</v>
      </c>
      <c r="B889" t="inlineStr">
        <is>
          <t>housewares</t>
        </is>
      </c>
      <c r="C889" t="n">
        <v>322</v>
      </c>
      <c r="D889" t="n">
        <v>390</v>
      </c>
      <c r="E889" t="n">
        <v>43783.67</v>
      </c>
    </row>
    <row r="890">
      <c r="A890" s="19" t="n">
        <v>43160</v>
      </c>
      <c r="B890" t="inlineStr">
        <is>
          <t>industry_commerce_and_business</t>
        </is>
      </c>
      <c r="C890" t="n">
        <v>26</v>
      </c>
      <c r="D890" t="n">
        <v>29</v>
      </c>
      <c r="E890" t="n">
        <v>3607.83</v>
      </c>
    </row>
    <row r="891">
      <c r="A891" s="19" t="n">
        <v>43160</v>
      </c>
      <c r="B891" t="inlineStr">
        <is>
          <t>kitchen_dining_laundry_garden_furniture</t>
        </is>
      </c>
      <c r="C891" t="n">
        <v>12</v>
      </c>
      <c r="D891" t="n">
        <v>12</v>
      </c>
      <c r="E891" t="n">
        <v>3602.02</v>
      </c>
    </row>
    <row r="892">
      <c r="A892" s="19" t="n">
        <v>43160</v>
      </c>
      <c r="B892" t="inlineStr">
        <is>
          <t>la_cuisine</t>
        </is>
      </c>
      <c r="C892" t="n">
        <v>1</v>
      </c>
      <c r="D892" t="n">
        <v>1</v>
      </c>
      <c r="E892" t="n">
        <v>426.7</v>
      </c>
    </row>
    <row r="893">
      <c r="A893" s="19" t="n">
        <v>43160</v>
      </c>
      <c r="B893" t="inlineStr">
        <is>
          <t>luggage_accessories</t>
        </is>
      </c>
      <c r="C893" t="n">
        <v>51</v>
      </c>
      <c r="D893" t="n">
        <v>56</v>
      </c>
      <c r="E893" t="n">
        <v>7333.41</v>
      </c>
    </row>
    <row r="894">
      <c r="A894" s="19" t="n">
        <v>43160</v>
      </c>
      <c r="B894" t="inlineStr">
        <is>
          <t>market_place</t>
        </is>
      </c>
      <c r="C894" t="n">
        <v>16</v>
      </c>
      <c r="D894" t="n">
        <v>17</v>
      </c>
      <c r="E894" t="n">
        <v>1855.19</v>
      </c>
    </row>
    <row r="895">
      <c r="A895" s="19" t="n">
        <v>43160</v>
      </c>
      <c r="B895" t="inlineStr">
        <is>
          <t>music</t>
        </is>
      </c>
      <c r="C895" t="n">
        <v>2</v>
      </c>
      <c r="D895" t="n">
        <v>2</v>
      </c>
      <c r="E895" t="n">
        <v>362.36</v>
      </c>
    </row>
    <row r="896">
      <c r="A896" s="19" t="n">
        <v>43160</v>
      </c>
      <c r="B896" t="inlineStr">
        <is>
          <t>musical_instruments</t>
        </is>
      </c>
      <c r="C896" t="n">
        <v>49</v>
      </c>
      <c r="D896" t="n">
        <v>53</v>
      </c>
      <c r="E896" t="n">
        <v>10155.62</v>
      </c>
    </row>
    <row r="897">
      <c r="A897" s="19" t="n">
        <v>43160</v>
      </c>
      <c r="B897" t="inlineStr">
        <is>
          <t>office_furniture</t>
        </is>
      </c>
      <c r="C897" t="n">
        <v>149</v>
      </c>
      <c r="D897" t="n">
        <v>200</v>
      </c>
      <c r="E897" t="n">
        <v>39166.09</v>
      </c>
    </row>
    <row r="898">
      <c r="A898" s="19" t="n">
        <v>43160</v>
      </c>
      <c r="B898" t="inlineStr">
        <is>
          <t>party_supplies</t>
        </is>
      </c>
      <c r="C898" t="n">
        <v>5</v>
      </c>
      <c r="D898" t="n">
        <v>6</v>
      </c>
      <c r="E898" t="n">
        <v>1070.29</v>
      </c>
    </row>
    <row r="899">
      <c r="A899" s="19" t="n">
        <v>43160</v>
      </c>
      <c r="B899" t="inlineStr">
        <is>
          <t>perfumery</t>
        </is>
      </c>
      <c r="C899" t="n">
        <v>182</v>
      </c>
      <c r="D899" t="n">
        <v>198</v>
      </c>
      <c r="E899" t="n">
        <v>23350.66</v>
      </c>
    </row>
    <row r="900">
      <c r="A900" s="19" t="n">
        <v>43160</v>
      </c>
      <c r="B900" t="inlineStr">
        <is>
          <t>pet_shop</t>
        </is>
      </c>
      <c r="C900" t="n">
        <v>108</v>
      </c>
      <c r="D900" t="n">
        <v>122</v>
      </c>
      <c r="E900" t="n">
        <v>16067.14</v>
      </c>
    </row>
    <row r="901">
      <c r="A901" s="19" t="n">
        <v>43160</v>
      </c>
      <c r="B901" t="inlineStr">
        <is>
          <t>signaling_and_security</t>
        </is>
      </c>
      <c r="C901" t="n">
        <v>7</v>
      </c>
      <c r="D901" t="n">
        <v>9</v>
      </c>
      <c r="E901" t="n">
        <v>1079.56</v>
      </c>
    </row>
    <row r="902">
      <c r="A902" s="19" t="n">
        <v>43160</v>
      </c>
      <c r="B902" t="inlineStr">
        <is>
          <t>small_appliances</t>
        </is>
      </c>
      <c r="C902" t="n">
        <v>34</v>
      </c>
      <c r="D902" t="n">
        <v>35</v>
      </c>
      <c r="E902" t="n">
        <v>14693.11</v>
      </c>
    </row>
    <row r="903">
      <c r="A903" s="19" t="n">
        <v>43160</v>
      </c>
      <c r="B903" t="inlineStr">
        <is>
          <t>small_appliances_home_oven_and_coffee</t>
        </is>
      </c>
      <c r="C903" t="n">
        <v>7</v>
      </c>
      <c r="D903" t="n">
        <v>7</v>
      </c>
      <c r="E903" t="n">
        <v>8220.48</v>
      </c>
    </row>
    <row r="904">
      <c r="A904" s="19" t="n">
        <v>43160</v>
      </c>
      <c r="B904" t="inlineStr">
        <is>
          <t>sports_leisure</t>
        </is>
      </c>
      <c r="C904" t="n">
        <v>645</v>
      </c>
      <c r="D904" t="n">
        <v>732</v>
      </c>
      <c r="E904" t="n">
        <v>95994.77</v>
      </c>
    </row>
    <row r="905">
      <c r="A905" s="19" t="n">
        <v>43160</v>
      </c>
      <c r="B905" t="inlineStr">
        <is>
          <t>stationery</t>
        </is>
      </c>
      <c r="C905" t="n">
        <v>145</v>
      </c>
      <c r="D905" t="n">
        <v>163</v>
      </c>
      <c r="E905" t="n">
        <v>15868.44</v>
      </c>
    </row>
    <row r="906">
      <c r="A906" s="19" t="n">
        <v>43160</v>
      </c>
      <c r="B906" t="inlineStr">
        <is>
          <t>tablets_printing_image</t>
        </is>
      </c>
      <c r="C906" t="n">
        <v>2</v>
      </c>
      <c r="D906" t="n">
        <v>3</v>
      </c>
      <c r="E906" t="n">
        <v>287.29</v>
      </c>
    </row>
    <row r="907">
      <c r="A907" s="19" t="n">
        <v>43160</v>
      </c>
      <c r="B907" t="inlineStr">
        <is>
          <t>telephony</t>
        </is>
      </c>
      <c r="C907" t="n">
        <v>320</v>
      </c>
      <c r="D907" t="n">
        <v>334</v>
      </c>
      <c r="E907" t="n">
        <v>30041.16</v>
      </c>
    </row>
    <row r="908">
      <c r="A908" s="19" t="n">
        <v>43160</v>
      </c>
      <c r="B908" t="inlineStr">
        <is>
          <t>toys</t>
        </is>
      </c>
      <c r="C908" t="n">
        <v>215</v>
      </c>
      <c r="D908" t="n">
        <v>225</v>
      </c>
      <c r="E908" t="n">
        <v>26980.27</v>
      </c>
    </row>
    <row r="909">
      <c r="A909" s="19" t="n">
        <v>43160</v>
      </c>
      <c r="B909" t="inlineStr">
        <is>
          <t>unknown</t>
        </is>
      </c>
      <c r="C909" t="n">
        <v>125</v>
      </c>
      <c r="D909" t="n">
        <v>133</v>
      </c>
      <c r="E909" t="n">
        <v>19123.48</v>
      </c>
    </row>
    <row r="910">
      <c r="A910" s="19" t="n">
        <v>43160</v>
      </c>
      <c r="B910" t="inlineStr">
        <is>
          <t>watches_gifts</t>
        </is>
      </c>
      <c r="C910" t="n">
        <v>407</v>
      </c>
      <c r="D910" t="n">
        <v>421</v>
      </c>
      <c r="E910" t="n">
        <v>104292.26</v>
      </c>
    </row>
    <row r="911">
      <c r="A911" s="19" t="n">
        <v>43191</v>
      </c>
      <c r="B911" t="inlineStr">
        <is>
          <t>agro_industry_and_commerce</t>
        </is>
      </c>
      <c r="C911" t="n">
        <v>12</v>
      </c>
      <c r="D911" t="n">
        <v>12</v>
      </c>
      <c r="E911" t="n">
        <v>4783.66</v>
      </c>
    </row>
    <row r="912">
      <c r="A912" s="19" t="n">
        <v>43191</v>
      </c>
      <c r="B912" t="inlineStr">
        <is>
          <t>air_conditioning</t>
        </is>
      </c>
      <c r="C912" t="n">
        <v>22</v>
      </c>
      <c r="D912" t="n">
        <v>23</v>
      </c>
      <c r="E912" t="n">
        <v>3921.12</v>
      </c>
    </row>
    <row r="913">
      <c r="A913" s="19" t="n">
        <v>43191</v>
      </c>
      <c r="B913" t="inlineStr">
        <is>
          <t>art</t>
        </is>
      </c>
      <c r="C913" t="n">
        <v>26</v>
      </c>
      <c r="D913" t="n">
        <v>26</v>
      </c>
      <c r="E913" t="n">
        <v>2623.04</v>
      </c>
    </row>
    <row r="914">
      <c r="A914" s="19" t="n">
        <v>43191</v>
      </c>
      <c r="B914" t="inlineStr">
        <is>
          <t>arts_and_craftmanship</t>
        </is>
      </c>
      <c r="C914" t="n">
        <v>1</v>
      </c>
      <c r="D914" t="n">
        <v>1</v>
      </c>
      <c r="E914" t="n">
        <v>34.22</v>
      </c>
    </row>
    <row r="915">
      <c r="A915" s="19" t="n">
        <v>43191</v>
      </c>
      <c r="B915" t="inlineStr">
        <is>
          <t>audio</t>
        </is>
      </c>
      <c r="C915" t="n">
        <v>30</v>
      </c>
      <c r="D915" t="n">
        <v>31</v>
      </c>
      <c r="E915" t="n">
        <v>7571.46</v>
      </c>
    </row>
    <row r="916">
      <c r="A916" s="19" t="n">
        <v>43191</v>
      </c>
      <c r="B916" t="inlineStr">
        <is>
          <t>auto</t>
        </is>
      </c>
      <c r="C916" t="n">
        <v>328</v>
      </c>
      <c r="D916" t="n">
        <v>348</v>
      </c>
      <c r="E916" t="n">
        <v>55216.95</v>
      </c>
    </row>
    <row r="917">
      <c r="A917" s="19" t="n">
        <v>43191</v>
      </c>
      <c r="B917" t="inlineStr">
        <is>
          <t>baby</t>
        </is>
      </c>
      <c r="C917" t="n">
        <v>215</v>
      </c>
      <c r="D917" t="n">
        <v>237</v>
      </c>
      <c r="E917" t="n">
        <v>53839.74</v>
      </c>
    </row>
    <row r="918">
      <c r="A918" s="19" t="n">
        <v>43191</v>
      </c>
      <c r="B918" t="inlineStr">
        <is>
          <t>bed_bath_table</t>
        </is>
      </c>
      <c r="C918" t="n">
        <v>600</v>
      </c>
      <c r="D918" t="n">
        <v>736</v>
      </c>
      <c r="E918" t="n">
        <v>85565.96000000001</v>
      </c>
    </row>
    <row r="919">
      <c r="A919" s="19" t="n">
        <v>43191</v>
      </c>
      <c r="B919" t="inlineStr">
        <is>
          <t>books_general_interest</t>
        </is>
      </c>
      <c r="C919" t="n">
        <v>42</v>
      </c>
      <c r="D919" t="n">
        <v>49</v>
      </c>
      <c r="E919" t="n">
        <v>7169.92</v>
      </c>
    </row>
    <row r="920">
      <c r="A920" s="19" t="n">
        <v>43191</v>
      </c>
      <c r="B920" t="inlineStr">
        <is>
          <t>books_imported</t>
        </is>
      </c>
      <c r="C920" t="n">
        <v>4</v>
      </c>
      <c r="D920" t="n">
        <v>4</v>
      </c>
      <c r="E920" t="n">
        <v>352.37</v>
      </c>
    </row>
    <row r="921">
      <c r="A921" s="19" t="n">
        <v>43191</v>
      </c>
      <c r="B921" t="inlineStr">
        <is>
          <t>books_technical</t>
        </is>
      </c>
      <c r="C921" t="n">
        <v>23</v>
      </c>
      <c r="D921" t="n">
        <v>23</v>
      </c>
      <c r="E921" t="n">
        <v>1576.46</v>
      </c>
    </row>
    <row r="922">
      <c r="A922" s="19" t="n">
        <v>43191</v>
      </c>
      <c r="B922" t="inlineStr">
        <is>
          <t>cds_dvds_musicals</t>
        </is>
      </c>
      <c r="C922" t="n">
        <v>1</v>
      </c>
      <c r="D922" t="n">
        <v>1</v>
      </c>
      <c r="E922" t="n">
        <v>117.58</v>
      </c>
    </row>
    <row r="923">
      <c r="A923" s="19" t="n">
        <v>43191</v>
      </c>
      <c r="B923" t="inlineStr">
        <is>
          <t>christmas_supplies</t>
        </is>
      </c>
      <c r="C923" t="n">
        <v>9</v>
      </c>
      <c r="D923" t="n">
        <v>12</v>
      </c>
      <c r="E923" t="n">
        <v>518.5799999999999</v>
      </c>
    </row>
    <row r="924">
      <c r="A924" s="19" t="n">
        <v>43191</v>
      </c>
      <c r="B924" t="inlineStr">
        <is>
          <t>cine_photo</t>
        </is>
      </c>
      <c r="C924" t="n">
        <v>5</v>
      </c>
      <c r="D924" t="n">
        <v>5</v>
      </c>
      <c r="E924" t="n">
        <v>621.13</v>
      </c>
    </row>
    <row r="925">
      <c r="A925" s="19" t="n">
        <v>43191</v>
      </c>
      <c r="B925" t="inlineStr">
        <is>
          <t>computers</t>
        </is>
      </c>
      <c r="C925" t="n">
        <v>13</v>
      </c>
      <c r="D925" t="n">
        <v>15</v>
      </c>
      <c r="E925" t="n">
        <v>14571.61</v>
      </c>
    </row>
    <row r="926">
      <c r="A926" s="19" t="n">
        <v>43191</v>
      </c>
      <c r="B926" t="inlineStr">
        <is>
          <t>computers_accessories</t>
        </is>
      </c>
      <c r="C926" t="n">
        <v>465</v>
      </c>
      <c r="D926" t="n">
        <v>526</v>
      </c>
      <c r="E926" t="n">
        <v>67269.64999999999</v>
      </c>
    </row>
    <row r="927">
      <c r="A927" s="19" t="n">
        <v>43191</v>
      </c>
      <c r="B927" t="inlineStr">
        <is>
          <t>consoles_games</t>
        </is>
      </c>
      <c r="C927" t="n">
        <v>37</v>
      </c>
      <c r="D927" t="n">
        <v>40</v>
      </c>
      <c r="E927" t="n">
        <v>6255.49</v>
      </c>
    </row>
    <row r="928">
      <c r="A928" s="19" t="n">
        <v>43191</v>
      </c>
      <c r="B928" t="inlineStr">
        <is>
          <t>construction_tools_construction</t>
        </is>
      </c>
      <c r="C928" t="n">
        <v>76</v>
      </c>
      <c r="D928" t="n">
        <v>90</v>
      </c>
      <c r="E928" t="n">
        <v>15120.04</v>
      </c>
    </row>
    <row r="929">
      <c r="A929" s="19" t="n">
        <v>43191</v>
      </c>
      <c r="B929" t="inlineStr">
        <is>
          <t>construction_tools_lights</t>
        </is>
      </c>
      <c r="C929" t="n">
        <v>37</v>
      </c>
      <c r="D929" t="n">
        <v>47</v>
      </c>
      <c r="E929" t="n">
        <v>5827.5</v>
      </c>
    </row>
    <row r="930">
      <c r="A930" s="19" t="n">
        <v>43191</v>
      </c>
      <c r="B930" t="inlineStr">
        <is>
          <t>construction_tools_safety</t>
        </is>
      </c>
      <c r="C930" t="n">
        <v>23</v>
      </c>
      <c r="D930" t="n">
        <v>24</v>
      </c>
      <c r="E930" t="n">
        <v>3427.97</v>
      </c>
    </row>
    <row r="931">
      <c r="A931" s="19" t="n">
        <v>43191</v>
      </c>
      <c r="B931" t="inlineStr">
        <is>
          <t>cool_stuff</t>
        </is>
      </c>
      <c r="C931" t="n">
        <v>194</v>
      </c>
      <c r="D931" t="n">
        <v>206</v>
      </c>
      <c r="E931" t="n">
        <v>40006.5</v>
      </c>
    </row>
    <row r="932">
      <c r="A932" s="19" t="n">
        <v>43191</v>
      </c>
      <c r="B932" t="inlineStr">
        <is>
          <t>costruction_tools_garden</t>
        </is>
      </c>
      <c r="C932" t="n">
        <v>12</v>
      </c>
      <c r="D932" t="n">
        <v>18</v>
      </c>
      <c r="E932" t="n">
        <v>1777.27</v>
      </c>
    </row>
    <row r="933">
      <c r="A933" s="19" t="n">
        <v>43191</v>
      </c>
      <c r="B933" t="inlineStr">
        <is>
          <t>costruction_tools_tools</t>
        </is>
      </c>
      <c r="C933" t="n">
        <v>16</v>
      </c>
      <c r="D933" t="n">
        <v>17</v>
      </c>
      <c r="E933" t="n">
        <v>1651.92</v>
      </c>
    </row>
    <row r="934">
      <c r="A934" s="19" t="n">
        <v>43191</v>
      </c>
      <c r="B934" t="inlineStr">
        <is>
          <t>diapers_and_hygiene</t>
        </is>
      </c>
      <c r="C934" t="n">
        <v>4</v>
      </c>
      <c r="D934" t="n">
        <v>4</v>
      </c>
      <c r="E934" t="n">
        <v>200.57</v>
      </c>
    </row>
    <row r="935">
      <c r="A935" s="19" t="n">
        <v>43191</v>
      </c>
      <c r="B935" t="inlineStr">
        <is>
          <t>drinks</t>
        </is>
      </c>
      <c r="C935" t="n">
        <v>29</v>
      </c>
      <c r="D935" t="n">
        <v>54</v>
      </c>
      <c r="E935" t="n">
        <v>5914.22</v>
      </c>
    </row>
    <row r="936">
      <c r="A936" s="19" t="n">
        <v>43191</v>
      </c>
      <c r="B936" t="inlineStr">
        <is>
          <t>dvds_blu_ray</t>
        </is>
      </c>
      <c r="C936" t="n">
        <v>4</v>
      </c>
      <c r="D936" t="n">
        <v>5</v>
      </c>
      <c r="E936" t="n">
        <v>267.67</v>
      </c>
    </row>
    <row r="937">
      <c r="A937" s="19" t="n">
        <v>43191</v>
      </c>
      <c r="B937" t="inlineStr">
        <is>
          <t>electronics</t>
        </is>
      </c>
      <c r="C937" t="n">
        <v>201</v>
      </c>
      <c r="D937" t="n">
        <v>212</v>
      </c>
      <c r="E937" t="n">
        <v>14507.56</v>
      </c>
    </row>
    <row r="938">
      <c r="A938" s="19" t="n">
        <v>43191</v>
      </c>
      <c r="B938" t="inlineStr">
        <is>
          <t>fashio_female_clothing</t>
        </is>
      </c>
      <c r="C938" t="n">
        <v>1</v>
      </c>
      <c r="D938" t="n">
        <v>5</v>
      </c>
      <c r="E938" t="n">
        <v>218.15</v>
      </c>
    </row>
    <row r="939">
      <c r="A939" s="19" t="n">
        <v>43191</v>
      </c>
      <c r="B939" t="inlineStr">
        <is>
          <t>fashion_bags_accessories</t>
        </is>
      </c>
      <c r="C939" t="n">
        <v>92</v>
      </c>
      <c r="D939" t="n">
        <v>102</v>
      </c>
      <c r="E939" t="n">
        <v>9931.690000000001</v>
      </c>
    </row>
    <row r="940">
      <c r="A940" s="19" t="n">
        <v>43191</v>
      </c>
      <c r="B940" t="inlineStr">
        <is>
          <t>fashion_male_clothing</t>
        </is>
      </c>
      <c r="C940" t="n">
        <v>1</v>
      </c>
      <c r="D940" t="n">
        <v>1</v>
      </c>
      <c r="E940" t="n">
        <v>234.42</v>
      </c>
    </row>
    <row r="941">
      <c r="A941" s="19" t="n">
        <v>43191</v>
      </c>
      <c r="B941" t="inlineStr">
        <is>
          <t>fashion_shoes</t>
        </is>
      </c>
      <c r="C941" t="n">
        <v>11</v>
      </c>
      <c r="D941" t="n">
        <v>11</v>
      </c>
      <c r="E941" t="n">
        <v>1717.97</v>
      </c>
    </row>
    <row r="942">
      <c r="A942" s="19" t="n">
        <v>43191</v>
      </c>
      <c r="B942" t="inlineStr">
        <is>
          <t>fashion_sport</t>
        </is>
      </c>
      <c r="C942" t="n">
        <v>1</v>
      </c>
      <c r="D942" t="n">
        <v>1</v>
      </c>
      <c r="E942" t="n">
        <v>105.41</v>
      </c>
    </row>
    <row r="943">
      <c r="A943" s="19" t="n">
        <v>43191</v>
      </c>
      <c r="B943" t="inlineStr">
        <is>
          <t>fashion_underwear_beach</t>
        </is>
      </c>
      <c r="C943" t="n">
        <v>6</v>
      </c>
      <c r="D943" t="n">
        <v>6</v>
      </c>
      <c r="E943" t="n">
        <v>440.18</v>
      </c>
    </row>
    <row r="944">
      <c r="A944" s="19" t="n">
        <v>43191</v>
      </c>
      <c r="B944" t="inlineStr">
        <is>
          <t>fixed_telephony</t>
        </is>
      </c>
      <c r="C944" t="n">
        <v>10</v>
      </c>
      <c r="D944" t="n">
        <v>11</v>
      </c>
      <c r="E944" t="n">
        <v>2127.68</v>
      </c>
    </row>
    <row r="945">
      <c r="A945" s="19" t="n">
        <v>43191</v>
      </c>
      <c r="B945" t="inlineStr">
        <is>
          <t>flowers</t>
        </is>
      </c>
      <c r="C945" t="n">
        <v>3</v>
      </c>
      <c r="D945" t="n">
        <v>3</v>
      </c>
      <c r="E945" t="n">
        <v>194.49</v>
      </c>
    </row>
    <row r="946">
      <c r="A946" s="19" t="n">
        <v>43191</v>
      </c>
      <c r="B946" t="inlineStr">
        <is>
          <t>food</t>
        </is>
      </c>
      <c r="C946" t="n">
        <v>36</v>
      </c>
      <c r="D946" t="n">
        <v>40</v>
      </c>
      <c r="E946" t="n">
        <v>2219.99</v>
      </c>
    </row>
    <row r="947">
      <c r="A947" s="19" t="n">
        <v>43191</v>
      </c>
      <c r="B947" t="inlineStr">
        <is>
          <t>food_drink</t>
        </is>
      </c>
      <c r="C947" t="n">
        <v>16</v>
      </c>
      <c r="D947" t="n">
        <v>18</v>
      </c>
      <c r="E947" t="n">
        <v>885.03</v>
      </c>
    </row>
    <row r="948">
      <c r="A948" s="19" t="n">
        <v>43191</v>
      </c>
      <c r="B948" t="inlineStr">
        <is>
          <t>furniture_bedroom</t>
        </is>
      </c>
      <c r="C948" t="n">
        <v>6</v>
      </c>
      <c r="D948" t="n">
        <v>7</v>
      </c>
      <c r="E948" t="n">
        <v>1612.67</v>
      </c>
    </row>
    <row r="949">
      <c r="A949" s="19" t="n">
        <v>43191</v>
      </c>
      <c r="B949" t="inlineStr">
        <is>
          <t>furniture_decor</t>
        </is>
      </c>
      <c r="C949" t="n">
        <v>458</v>
      </c>
      <c r="D949" t="n">
        <v>586</v>
      </c>
      <c r="E949" t="n">
        <v>67700.91</v>
      </c>
    </row>
    <row r="950">
      <c r="A950" s="19" t="n">
        <v>43191</v>
      </c>
      <c r="B950" t="inlineStr">
        <is>
          <t>furniture_living_room</t>
        </is>
      </c>
      <c r="C950" t="n">
        <v>24</v>
      </c>
      <c r="D950" t="n">
        <v>33</v>
      </c>
      <c r="E950" t="n">
        <v>6101.34</v>
      </c>
    </row>
    <row r="951">
      <c r="A951" s="19" t="n">
        <v>43191</v>
      </c>
      <c r="B951" t="inlineStr">
        <is>
          <t>garden_tools</t>
        </is>
      </c>
      <c r="C951" t="n">
        <v>232</v>
      </c>
      <c r="D951" t="n">
        <v>282</v>
      </c>
      <c r="E951" t="n">
        <v>39964.88</v>
      </c>
    </row>
    <row r="952">
      <c r="A952" s="19" t="n">
        <v>43191</v>
      </c>
      <c r="B952" t="inlineStr">
        <is>
          <t>health_beauty</t>
        </is>
      </c>
      <c r="C952" t="n">
        <v>619</v>
      </c>
      <c r="D952" t="n">
        <v>685</v>
      </c>
      <c r="E952" t="n">
        <v>104332.9</v>
      </c>
    </row>
    <row r="953">
      <c r="A953" s="19" t="n">
        <v>43191</v>
      </c>
      <c r="B953" t="inlineStr">
        <is>
          <t>home_appliances</t>
        </is>
      </c>
      <c r="C953" t="n">
        <v>104</v>
      </c>
      <c r="D953" t="n">
        <v>104</v>
      </c>
      <c r="E953" t="n">
        <v>17223.2</v>
      </c>
    </row>
    <row r="954">
      <c r="A954" s="19" t="n">
        <v>43191</v>
      </c>
      <c r="B954" t="inlineStr">
        <is>
          <t>home_appliances_2</t>
        </is>
      </c>
      <c r="C954" t="n">
        <v>23</v>
      </c>
      <c r="D954" t="n">
        <v>23</v>
      </c>
      <c r="E954" t="n">
        <v>21959.04</v>
      </c>
    </row>
    <row r="955">
      <c r="A955" s="19" t="n">
        <v>43191</v>
      </c>
      <c r="B955" t="inlineStr">
        <is>
          <t>home_comfort_2</t>
        </is>
      </c>
      <c r="C955" t="n">
        <v>1</v>
      </c>
      <c r="D955" t="n">
        <v>1</v>
      </c>
      <c r="E955" t="n">
        <v>18.76</v>
      </c>
    </row>
    <row r="956">
      <c r="A956" s="19" t="n">
        <v>43191</v>
      </c>
      <c r="B956" t="inlineStr">
        <is>
          <t>home_confort</t>
        </is>
      </c>
      <c r="C956" t="n">
        <v>15</v>
      </c>
      <c r="D956" t="n">
        <v>18</v>
      </c>
      <c r="E956" t="n">
        <v>2274.26</v>
      </c>
    </row>
    <row r="957">
      <c r="A957" s="19" t="n">
        <v>43191</v>
      </c>
      <c r="B957" t="inlineStr">
        <is>
          <t>home_construction</t>
        </is>
      </c>
      <c r="C957" t="n">
        <v>58</v>
      </c>
      <c r="D957" t="n">
        <v>75</v>
      </c>
      <c r="E957" t="n">
        <v>10649.36</v>
      </c>
    </row>
    <row r="958">
      <c r="A958" s="19" t="n">
        <v>43191</v>
      </c>
      <c r="B958" t="inlineStr">
        <is>
          <t>housewares</t>
        </is>
      </c>
      <c r="C958" t="n">
        <v>411</v>
      </c>
      <c r="D958" t="n">
        <v>462</v>
      </c>
      <c r="E958" t="n">
        <v>54455.05</v>
      </c>
    </row>
    <row r="959">
      <c r="A959" s="19" t="n">
        <v>43191</v>
      </c>
      <c r="B959" t="inlineStr">
        <is>
          <t>industry_commerce_and_business</t>
        </is>
      </c>
      <c r="C959" t="n">
        <v>48</v>
      </c>
      <c r="D959" t="n">
        <v>53</v>
      </c>
      <c r="E959" t="n">
        <v>6882.219999999999</v>
      </c>
    </row>
    <row r="960">
      <c r="A960" s="19" t="n">
        <v>43191</v>
      </c>
      <c r="B960" t="inlineStr">
        <is>
          <t>kitchen_dining_laundry_garden_furniture</t>
        </is>
      </c>
      <c r="C960" t="n">
        <v>18</v>
      </c>
      <c r="D960" t="n">
        <v>19</v>
      </c>
      <c r="E960" t="n">
        <v>4222.14</v>
      </c>
    </row>
    <row r="961">
      <c r="A961" s="19" t="n">
        <v>43191</v>
      </c>
      <c r="B961" t="inlineStr">
        <is>
          <t>la_cuisine</t>
        </is>
      </c>
      <c r="C961" t="n">
        <v>1</v>
      </c>
      <c r="D961" t="n">
        <v>2</v>
      </c>
      <c r="E961" t="n">
        <v>334.12</v>
      </c>
    </row>
    <row r="962">
      <c r="A962" s="19" t="n">
        <v>43191</v>
      </c>
      <c r="B962" t="inlineStr">
        <is>
          <t>luggage_accessories</t>
        </is>
      </c>
      <c r="C962" t="n">
        <v>53</v>
      </c>
      <c r="D962" t="n">
        <v>57</v>
      </c>
      <c r="E962" t="n">
        <v>10272.07</v>
      </c>
    </row>
    <row r="963">
      <c r="A963" s="19" t="n">
        <v>43191</v>
      </c>
      <c r="B963" t="inlineStr">
        <is>
          <t>market_place</t>
        </is>
      </c>
      <c r="C963" t="n">
        <v>15</v>
      </c>
      <c r="D963" t="n">
        <v>15</v>
      </c>
      <c r="E963" t="n">
        <v>844.83</v>
      </c>
    </row>
    <row r="964">
      <c r="A964" s="19" t="n">
        <v>43191</v>
      </c>
      <c r="B964" t="inlineStr">
        <is>
          <t>music</t>
        </is>
      </c>
      <c r="C964" t="n">
        <v>5</v>
      </c>
      <c r="D964" t="n">
        <v>5</v>
      </c>
      <c r="E964" t="n">
        <v>1842.06</v>
      </c>
    </row>
    <row r="965">
      <c r="A965" s="19" t="n">
        <v>43191</v>
      </c>
      <c r="B965" t="inlineStr">
        <is>
          <t>musical_instruments</t>
        </is>
      </c>
      <c r="C965" t="n">
        <v>57</v>
      </c>
      <c r="D965" t="n">
        <v>60</v>
      </c>
      <c r="E965" t="n">
        <v>21176.37</v>
      </c>
    </row>
    <row r="966">
      <c r="A966" s="19" t="n">
        <v>43191</v>
      </c>
      <c r="B966" t="inlineStr">
        <is>
          <t>office_furniture</t>
        </is>
      </c>
      <c r="C966" t="n">
        <v>86</v>
      </c>
      <c r="D966" t="n">
        <v>131</v>
      </c>
      <c r="E966" t="n">
        <v>26236.86</v>
      </c>
    </row>
    <row r="967">
      <c r="A967" s="19" t="n">
        <v>43191</v>
      </c>
      <c r="B967" t="inlineStr">
        <is>
          <t>party_supplies</t>
        </is>
      </c>
      <c r="C967" t="n">
        <v>1</v>
      </c>
      <c r="D967" t="n">
        <v>2</v>
      </c>
      <c r="E967" t="n">
        <v>80.26000000000001</v>
      </c>
    </row>
    <row r="968">
      <c r="A968" s="19" t="n">
        <v>43191</v>
      </c>
      <c r="B968" t="inlineStr">
        <is>
          <t>perfumery</t>
        </is>
      </c>
      <c r="C968" t="n">
        <v>159</v>
      </c>
      <c r="D968" t="n">
        <v>174</v>
      </c>
      <c r="E968" t="n">
        <v>20091.32</v>
      </c>
    </row>
    <row r="969">
      <c r="A969" s="19" t="n">
        <v>43191</v>
      </c>
      <c r="B969" t="inlineStr">
        <is>
          <t>pet_shop</t>
        </is>
      </c>
      <c r="C969" t="n">
        <v>150</v>
      </c>
      <c r="D969" t="n">
        <v>166</v>
      </c>
      <c r="E969" t="n">
        <v>21776.17</v>
      </c>
    </row>
    <row r="970">
      <c r="A970" s="19" t="n">
        <v>43191</v>
      </c>
      <c r="B970" t="inlineStr">
        <is>
          <t>signaling_and_security</t>
        </is>
      </c>
      <c r="C970" t="n">
        <v>22</v>
      </c>
      <c r="D970" t="n">
        <v>36</v>
      </c>
      <c r="E970" t="n">
        <v>2951.28</v>
      </c>
    </row>
    <row r="971">
      <c r="A971" s="19" t="n">
        <v>43191</v>
      </c>
      <c r="B971" t="inlineStr">
        <is>
          <t>small_appliances</t>
        </is>
      </c>
      <c r="C971" t="n">
        <v>60</v>
      </c>
      <c r="D971" t="n">
        <v>66</v>
      </c>
      <c r="E971" t="n">
        <v>13278.35</v>
      </c>
    </row>
    <row r="972">
      <c r="A972" s="19" t="n">
        <v>43191</v>
      </c>
      <c r="B972" t="inlineStr">
        <is>
          <t>small_appliances_home_oven_and_coffee</t>
        </is>
      </c>
      <c r="C972" t="n">
        <v>13</v>
      </c>
      <c r="D972" t="n">
        <v>13</v>
      </c>
      <c r="E972" t="n">
        <v>13921.62</v>
      </c>
    </row>
    <row r="973">
      <c r="A973" s="19" t="n">
        <v>43191</v>
      </c>
      <c r="B973" t="inlineStr">
        <is>
          <t>sports_leisure</t>
        </is>
      </c>
      <c r="C973" t="n">
        <v>520</v>
      </c>
      <c r="D973" t="n">
        <v>586</v>
      </c>
      <c r="E973" t="n">
        <v>76860.92</v>
      </c>
    </row>
    <row r="974">
      <c r="A974" s="19" t="n">
        <v>43191</v>
      </c>
      <c r="B974" t="inlineStr">
        <is>
          <t>stationery</t>
        </is>
      </c>
      <c r="C974" t="n">
        <v>128</v>
      </c>
      <c r="D974" t="n">
        <v>152</v>
      </c>
      <c r="E974" t="n">
        <v>13820.04</v>
      </c>
    </row>
    <row r="975">
      <c r="A975" s="19" t="n">
        <v>43191</v>
      </c>
      <c r="B975" t="inlineStr">
        <is>
          <t>tablets_printing_image</t>
        </is>
      </c>
      <c r="C975" t="n">
        <v>1</v>
      </c>
      <c r="D975" t="n">
        <v>1</v>
      </c>
      <c r="E975" t="n">
        <v>70.23999999999999</v>
      </c>
    </row>
    <row r="976">
      <c r="A976" s="19" t="n">
        <v>43191</v>
      </c>
      <c r="B976" t="inlineStr">
        <is>
          <t>telephony</t>
        </is>
      </c>
      <c r="C976" t="n">
        <v>245</v>
      </c>
      <c r="D976" t="n">
        <v>279</v>
      </c>
      <c r="E976" t="n">
        <v>20415.77</v>
      </c>
    </row>
    <row r="977">
      <c r="A977" s="19" t="n">
        <v>43191</v>
      </c>
      <c r="B977" t="inlineStr">
        <is>
          <t>toys</t>
        </is>
      </c>
      <c r="C977" t="n">
        <v>193</v>
      </c>
      <c r="D977" t="n">
        <v>202</v>
      </c>
      <c r="E977" t="n">
        <v>27310.58</v>
      </c>
    </row>
    <row r="978">
      <c r="A978" s="19" t="n">
        <v>43191</v>
      </c>
      <c r="B978" t="inlineStr">
        <is>
          <t>unknown</t>
        </is>
      </c>
      <c r="C978" t="n">
        <v>72</v>
      </c>
      <c r="D978" t="n">
        <v>74</v>
      </c>
      <c r="E978" t="n">
        <v>9325.029999999999</v>
      </c>
    </row>
    <row r="979">
      <c r="A979" s="19" t="n">
        <v>43191</v>
      </c>
      <c r="B979" t="inlineStr">
        <is>
          <t>watches_gifts</t>
        </is>
      </c>
      <c r="C979" t="n">
        <v>462</v>
      </c>
      <c r="D979" t="n">
        <v>494</v>
      </c>
      <c r="E979" t="n">
        <v>96089.14</v>
      </c>
    </row>
    <row r="980">
      <c r="A980" s="19" t="n">
        <v>43221</v>
      </c>
      <c r="B980" t="inlineStr">
        <is>
          <t>agro_industry_and_commerce</t>
        </is>
      </c>
      <c r="C980" t="n">
        <v>8</v>
      </c>
      <c r="D980" t="n">
        <v>8</v>
      </c>
      <c r="E980" t="n">
        <v>3433.22</v>
      </c>
    </row>
    <row r="981">
      <c r="A981" s="19" t="n">
        <v>43221</v>
      </c>
      <c r="B981" t="inlineStr">
        <is>
          <t>air_conditioning</t>
        </is>
      </c>
      <c r="C981" t="n">
        <v>13</v>
      </c>
      <c r="D981" t="n">
        <v>14</v>
      </c>
      <c r="E981" t="n">
        <v>2231.35</v>
      </c>
    </row>
    <row r="982">
      <c r="A982" s="19" t="n">
        <v>43221</v>
      </c>
      <c r="B982" t="inlineStr">
        <is>
          <t>art</t>
        </is>
      </c>
      <c r="C982" t="n">
        <v>33</v>
      </c>
      <c r="D982" t="n">
        <v>34</v>
      </c>
      <c r="E982" t="n">
        <v>3021.88</v>
      </c>
    </row>
    <row r="983">
      <c r="A983" s="19" t="n">
        <v>43221</v>
      </c>
      <c r="B983" t="inlineStr">
        <is>
          <t>arts_and_craftmanship</t>
        </is>
      </c>
      <c r="C983" t="n">
        <v>1</v>
      </c>
      <c r="D983" t="n">
        <v>1</v>
      </c>
      <c r="E983" t="n">
        <v>101.05</v>
      </c>
    </row>
    <row r="984">
      <c r="A984" s="19" t="n">
        <v>43221</v>
      </c>
      <c r="B984" t="inlineStr">
        <is>
          <t>audio</t>
        </is>
      </c>
      <c r="C984" t="n">
        <v>20</v>
      </c>
      <c r="D984" t="n">
        <v>21</v>
      </c>
      <c r="E984" t="n">
        <v>3044.54</v>
      </c>
    </row>
    <row r="985">
      <c r="A985" s="19" t="n">
        <v>43221</v>
      </c>
      <c r="B985" t="inlineStr">
        <is>
          <t>auto</t>
        </is>
      </c>
      <c r="C985" t="n">
        <v>295</v>
      </c>
      <c r="D985" t="n">
        <v>308</v>
      </c>
      <c r="E985" t="n">
        <v>48079.82</v>
      </c>
    </row>
    <row r="986">
      <c r="A986" s="19" t="n">
        <v>43221</v>
      </c>
      <c r="B986" t="inlineStr">
        <is>
          <t>baby</t>
        </is>
      </c>
      <c r="C986" t="n">
        <v>218</v>
      </c>
      <c r="D986" t="n">
        <v>239</v>
      </c>
      <c r="E986" t="n">
        <v>38552.46000000001</v>
      </c>
    </row>
    <row r="987">
      <c r="A987" s="19" t="n">
        <v>43221</v>
      </c>
      <c r="B987" t="inlineStr">
        <is>
          <t>bed_bath_table</t>
        </is>
      </c>
      <c r="C987" t="n">
        <v>600</v>
      </c>
      <c r="D987" t="n">
        <v>740</v>
      </c>
      <c r="E987" t="n">
        <v>84642.74000000001</v>
      </c>
    </row>
    <row r="988">
      <c r="A988" s="19" t="n">
        <v>43221</v>
      </c>
      <c r="B988" t="inlineStr">
        <is>
          <t>books_general_interest</t>
        </is>
      </c>
      <c r="C988" t="n">
        <v>48</v>
      </c>
      <c r="D988" t="n">
        <v>50</v>
      </c>
      <c r="E988" t="n">
        <v>6793.860000000001</v>
      </c>
    </row>
    <row r="989">
      <c r="A989" s="19" t="n">
        <v>43221</v>
      </c>
      <c r="B989" t="inlineStr">
        <is>
          <t>books_imported</t>
        </is>
      </c>
      <c r="C989" t="n">
        <v>9</v>
      </c>
      <c r="D989" t="n">
        <v>10</v>
      </c>
      <c r="E989" t="n">
        <v>525.71</v>
      </c>
    </row>
    <row r="990">
      <c r="A990" s="19" t="n">
        <v>43221</v>
      </c>
      <c r="B990" t="inlineStr">
        <is>
          <t>books_technical</t>
        </is>
      </c>
      <c r="C990" t="n">
        <v>54</v>
      </c>
      <c r="D990" t="n">
        <v>55</v>
      </c>
      <c r="E990" t="n">
        <v>3889.59</v>
      </c>
    </row>
    <row r="991">
      <c r="A991" s="19" t="n">
        <v>43221</v>
      </c>
      <c r="B991" t="inlineStr">
        <is>
          <t>christmas_supplies</t>
        </is>
      </c>
      <c r="C991" t="n">
        <v>6</v>
      </c>
      <c r="D991" t="n">
        <v>6</v>
      </c>
      <c r="E991" t="n">
        <v>672.74</v>
      </c>
    </row>
    <row r="992">
      <c r="A992" s="19" t="n">
        <v>43221</v>
      </c>
      <c r="B992" t="inlineStr">
        <is>
          <t>cine_photo</t>
        </is>
      </c>
      <c r="C992" t="n">
        <v>16</v>
      </c>
      <c r="D992" t="n">
        <v>17</v>
      </c>
      <c r="E992" t="n">
        <v>2381.28</v>
      </c>
    </row>
    <row r="993">
      <c r="A993" s="19" t="n">
        <v>43221</v>
      </c>
      <c r="B993" t="inlineStr">
        <is>
          <t>computers</t>
        </is>
      </c>
      <c r="C993" t="n">
        <v>6</v>
      </c>
      <c r="D993" t="n">
        <v>13</v>
      </c>
      <c r="E993" t="n">
        <v>9161.35</v>
      </c>
    </row>
    <row r="994">
      <c r="A994" s="19" t="n">
        <v>43221</v>
      </c>
      <c r="B994" t="inlineStr">
        <is>
          <t>computers_accessories</t>
        </is>
      </c>
      <c r="C994" t="n">
        <v>399</v>
      </c>
      <c r="D994" t="n">
        <v>453</v>
      </c>
      <c r="E994" t="n">
        <v>59048.69</v>
      </c>
    </row>
    <row r="995">
      <c r="A995" s="19" t="n">
        <v>43221</v>
      </c>
      <c r="B995" t="inlineStr">
        <is>
          <t>consoles_games</t>
        </is>
      </c>
      <c r="C995" t="n">
        <v>38</v>
      </c>
      <c r="D995" t="n">
        <v>52</v>
      </c>
      <c r="E995" t="n">
        <v>6269.67</v>
      </c>
    </row>
    <row r="996">
      <c r="A996" s="19" t="n">
        <v>43221</v>
      </c>
      <c r="B996" t="inlineStr">
        <is>
          <t>construction_tools_construction</t>
        </is>
      </c>
      <c r="C996" t="n">
        <v>89</v>
      </c>
      <c r="D996" t="n">
        <v>125</v>
      </c>
      <c r="E996" t="n">
        <v>23580.34</v>
      </c>
    </row>
    <row r="997">
      <c r="A997" s="19" t="n">
        <v>43221</v>
      </c>
      <c r="B997" t="inlineStr">
        <is>
          <t>construction_tools_lights</t>
        </is>
      </c>
      <c r="C997" t="n">
        <v>30</v>
      </c>
      <c r="D997" t="n">
        <v>38</v>
      </c>
      <c r="E997" t="n">
        <v>5104.71</v>
      </c>
    </row>
    <row r="998">
      <c r="A998" s="19" t="n">
        <v>43221</v>
      </c>
      <c r="B998" t="inlineStr">
        <is>
          <t>construction_tools_safety</t>
        </is>
      </c>
      <c r="C998" t="n">
        <v>21</v>
      </c>
      <c r="D998" t="n">
        <v>22</v>
      </c>
      <c r="E998" t="n">
        <v>6531.18</v>
      </c>
    </row>
    <row r="999">
      <c r="A999" s="19" t="n">
        <v>43221</v>
      </c>
      <c r="B999" t="inlineStr">
        <is>
          <t>cool_stuff</t>
        </is>
      </c>
      <c r="C999" t="n">
        <v>168</v>
      </c>
      <c r="D999" t="n">
        <v>175</v>
      </c>
      <c r="E999" t="n">
        <v>33828.78</v>
      </c>
    </row>
    <row r="1000">
      <c r="A1000" s="19" t="n">
        <v>43221</v>
      </c>
      <c r="B1000" t="inlineStr">
        <is>
          <t>costruction_tools_garden</t>
        </is>
      </c>
      <c r="C1000" t="n">
        <v>13</v>
      </c>
      <c r="D1000" t="n">
        <v>16</v>
      </c>
      <c r="E1000" t="n">
        <v>1403.85</v>
      </c>
    </row>
    <row r="1001">
      <c r="A1001" s="19" t="n">
        <v>43221</v>
      </c>
      <c r="B1001" t="inlineStr">
        <is>
          <t>costruction_tools_tools</t>
        </is>
      </c>
      <c r="C1001" t="n">
        <v>5</v>
      </c>
      <c r="D1001" t="n">
        <v>5</v>
      </c>
      <c r="E1001" t="n">
        <v>506.26</v>
      </c>
    </row>
    <row r="1002">
      <c r="A1002" s="19" t="n">
        <v>43221</v>
      </c>
      <c r="B1002" t="inlineStr">
        <is>
          <t>diapers_and_hygiene</t>
        </is>
      </c>
      <c r="C1002" t="n">
        <v>3</v>
      </c>
      <c r="D1002" t="n">
        <v>3</v>
      </c>
      <c r="E1002" t="n">
        <v>159.65</v>
      </c>
    </row>
    <row r="1003">
      <c r="A1003" s="19" t="n">
        <v>43221</v>
      </c>
      <c r="B1003" t="inlineStr">
        <is>
          <t>drinks</t>
        </is>
      </c>
      <c r="C1003" t="n">
        <v>33</v>
      </c>
      <c r="D1003" t="n">
        <v>47</v>
      </c>
      <c r="E1003" t="n">
        <v>3264.84</v>
      </c>
    </row>
    <row r="1004">
      <c r="A1004" s="19" t="n">
        <v>43221</v>
      </c>
      <c r="B1004" t="inlineStr">
        <is>
          <t>dvds_blu_ray</t>
        </is>
      </c>
      <c r="C1004" t="n">
        <v>6</v>
      </c>
      <c r="D1004" t="n">
        <v>7</v>
      </c>
      <c r="E1004" t="n">
        <v>560.16</v>
      </c>
    </row>
    <row r="1005">
      <c r="A1005" s="19" t="n">
        <v>43221</v>
      </c>
      <c r="B1005" t="inlineStr">
        <is>
          <t>electronics</t>
        </is>
      </c>
      <c r="C1005" t="n">
        <v>219</v>
      </c>
      <c r="D1005" t="n">
        <v>231</v>
      </c>
      <c r="E1005" t="n">
        <v>20110.55</v>
      </c>
    </row>
    <row r="1006">
      <c r="A1006" s="19" t="n">
        <v>43221</v>
      </c>
      <c r="B1006" t="inlineStr">
        <is>
          <t>fashion_bags_accessories</t>
        </is>
      </c>
      <c r="C1006" t="n">
        <v>104</v>
      </c>
      <c r="D1006" t="n">
        <v>110</v>
      </c>
      <c r="E1006" t="n">
        <v>13157.91</v>
      </c>
    </row>
    <row r="1007">
      <c r="A1007" s="19" t="n">
        <v>43221</v>
      </c>
      <c r="B1007" t="inlineStr">
        <is>
          <t>fashion_male_clothing</t>
        </is>
      </c>
      <c r="C1007" t="n">
        <v>1</v>
      </c>
      <c r="D1007" t="n">
        <v>1</v>
      </c>
      <c r="E1007" t="n">
        <v>149.87</v>
      </c>
    </row>
    <row r="1008">
      <c r="A1008" s="19" t="n">
        <v>43221</v>
      </c>
      <c r="B1008" t="inlineStr">
        <is>
          <t>fashion_shoes</t>
        </is>
      </c>
      <c r="C1008" t="n">
        <v>10</v>
      </c>
      <c r="D1008" t="n">
        <v>10</v>
      </c>
      <c r="E1008" t="n">
        <v>1788.57</v>
      </c>
    </row>
    <row r="1009">
      <c r="A1009" s="19" t="n">
        <v>43221</v>
      </c>
      <c r="B1009" t="inlineStr">
        <is>
          <t>fashion_underwear_beach</t>
        </is>
      </c>
      <c r="C1009" t="n">
        <v>5</v>
      </c>
      <c r="D1009" t="n">
        <v>6</v>
      </c>
      <c r="E1009" t="n">
        <v>300.46</v>
      </c>
    </row>
    <row r="1010">
      <c r="A1010" s="19" t="n">
        <v>43221</v>
      </c>
      <c r="B1010" t="inlineStr">
        <is>
          <t>fixed_telephony</t>
        </is>
      </c>
      <c r="C1010" t="n">
        <v>11</v>
      </c>
      <c r="D1010" t="n">
        <v>16</v>
      </c>
      <c r="E1010" t="n">
        <v>2113.89</v>
      </c>
    </row>
    <row r="1011">
      <c r="A1011" s="19" t="n">
        <v>43221</v>
      </c>
      <c r="B1011" t="inlineStr">
        <is>
          <t>flowers</t>
        </is>
      </c>
      <c r="C1011" t="n">
        <v>1</v>
      </c>
      <c r="D1011" t="n">
        <v>1</v>
      </c>
      <c r="E1011" t="n">
        <v>35.72</v>
      </c>
    </row>
    <row r="1012">
      <c r="A1012" s="19" t="n">
        <v>43221</v>
      </c>
      <c r="B1012" t="inlineStr">
        <is>
          <t>food</t>
        </is>
      </c>
      <c r="C1012" t="n">
        <v>36</v>
      </c>
      <c r="D1012" t="n">
        <v>44</v>
      </c>
      <c r="E1012" t="n">
        <v>2079.48</v>
      </c>
    </row>
    <row r="1013">
      <c r="A1013" s="19" t="n">
        <v>43221</v>
      </c>
      <c r="B1013" t="inlineStr">
        <is>
          <t>food_drink</t>
        </is>
      </c>
      <c r="C1013" t="n">
        <v>15</v>
      </c>
      <c r="D1013" t="n">
        <v>25</v>
      </c>
      <c r="E1013" t="n">
        <v>1674.74</v>
      </c>
    </row>
    <row r="1014">
      <c r="A1014" s="19" t="n">
        <v>43221</v>
      </c>
      <c r="B1014" t="inlineStr">
        <is>
          <t>furniture_bedroom</t>
        </is>
      </c>
      <c r="C1014" t="n">
        <v>5</v>
      </c>
      <c r="D1014" t="n">
        <v>6</v>
      </c>
      <c r="E1014" t="n">
        <v>1816.91</v>
      </c>
    </row>
    <row r="1015">
      <c r="A1015" s="19" t="n">
        <v>43221</v>
      </c>
      <c r="B1015" t="inlineStr">
        <is>
          <t>furniture_decor</t>
        </is>
      </c>
      <c r="C1015" t="n">
        <v>456</v>
      </c>
      <c r="D1015" t="n">
        <v>597</v>
      </c>
      <c r="E1015" t="n">
        <v>65041.44</v>
      </c>
    </row>
    <row r="1016">
      <c r="A1016" s="19" t="n">
        <v>43221</v>
      </c>
      <c r="B1016" t="inlineStr">
        <is>
          <t>furniture_living_room</t>
        </is>
      </c>
      <c r="C1016" t="n">
        <v>13</v>
      </c>
      <c r="D1016" t="n">
        <v>16</v>
      </c>
      <c r="E1016" t="n">
        <v>3390.1</v>
      </c>
    </row>
    <row r="1017">
      <c r="A1017" s="19" t="n">
        <v>43221</v>
      </c>
      <c r="B1017" t="inlineStr">
        <is>
          <t>garden_tools</t>
        </is>
      </c>
      <c r="C1017" t="n">
        <v>227</v>
      </c>
      <c r="D1017" t="n">
        <v>288</v>
      </c>
      <c r="E1017" t="n">
        <v>42903.48</v>
      </c>
    </row>
    <row r="1018">
      <c r="A1018" s="19" t="n">
        <v>43221</v>
      </c>
      <c r="B1018" t="inlineStr">
        <is>
          <t>health_beauty</t>
        </is>
      </c>
      <c r="C1018" t="n">
        <v>669</v>
      </c>
      <c r="D1018" t="n">
        <v>751</v>
      </c>
      <c r="E1018" t="n">
        <v>108261.36</v>
      </c>
    </row>
    <row r="1019">
      <c r="A1019" s="19" t="n">
        <v>43221</v>
      </c>
      <c r="B1019" t="inlineStr">
        <is>
          <t>home_appliances</t>
        </is>
      </c>
      <c r="C1019" t="n">
        <v>63</v>
      </c>
      <c r="D1019" t="n">
        <v>64</v>
      </c>
      <c r="E1019" t="n">
        <v>7380.41</v>
      </c>
    </row>
    <row r="1020">
      <c r="A1020" s="19" t="n">
        <v>43221</v>
      </c>
      <c r="B1020" t="inlineStr">
        <is>
          <t>home_appliances_2</t>
        </is>
      </c>
      <c r="C1020" t="n">
        <v>23</v>
      </c>
      <c r="D1020" t="n">
        <v>23</v>
      </c>
      <c r="E1020" t="n">
        <v>15597.83</v>
      </c>
    </row>
    <row r="1021">
      <c r="A1021" s="19" t="n">
        <v>43221</v>
      </c>
      <c r="B1021" t="inlineStr">
        <is>
          <t>home_confort</t>
        </is>
      </c>
      <c r="C1021" t="n">
        <v>18</v>
      </c>
      <c r="D1021" t="n">
        <v>21</v>
      </c>
      <c r="E1021" t="n">
        <v>3105.32</v>
      </c>
    </row>
    <row r="1022">
      <c r="A1022" s="19" t="n">
        <v>43221</v>
      </c>
      <c r="B1022" t="inlineStr">
        <is>
          <t>home_construction</t>
        </is>
      </c>
      <c r="C1022" t="n">
        <v>63</v>
      </c>
      <c r="D1022" t="n">
        <v>79</v>
      </c>
      <c r="E1022" t="n">
        <v>11456.03</v>
      </c>
    </row>
    <row r="1023">
      <c r="A1023" s="19" t="n">
        <v>43221</v>
      </c>
      <c r="B1023" t="inlineStr">
        <is>
          <t>housewares</t>
        </is>
      </c>
      <c r="C1023" t="n">
        <v>492</v>
      </c>
      <c r="D1023" t="n">
        <v>618</v>
      </c>
      <c r="E1023" t="n">
        <v>76236.64000000001</v>
      </c>
    </row>
    <row r="1024">
      <c r="A1024" s="19" t="n">
        <v>43221</v>
      </c>
      <c r="B1024" t="inlineStr">
        <is>
          <t>industry_commerce_and_business</t>
        </is>
      </c>
      <c r="C1024" t="n">
        <v>34</v>
      </c>
      <c r="D1024" t="n">
        <v>40</v>
      </c>
      <c r="E1024" t="n">
        <v>4855.940000000001</v>
      </c>
    </row>
    <row r="1025">
      <c r="A1025" s="19" t="n">
        <v>43221</v>
      </c>
      <c r="B1025" t="inlineStr">
        <is>
          <t>kitchen_dining_laundry_garden_furniture</t>
        </is>
      </c>
      <c r="C1025" t="n">
        <v>10</v>
      </c>
      <c r="D1025" t="n">
        <v>13</v>
      </c>
      <c r="E1025" t="n">
        <v>2861.28</v>
      </c>
    </row>
    <row r="1026">
      <c r="A1026" s="19" t="n">
        <v>43221</v>
      </c>
      <c r="B1026" t="inlineStr">
        <is>
          <t>luggage_accessories</t>
        </is>
      </c>
      <c r="C1026" t="n">
        <v>44</v>
      </c>
      <c r="D1026" t="n">
        <v>49</v>
      </c>
      <c r="E1026" t="n">
        <v>8245.49</v>
      </c>
    </row>
    <row r="1027">
      <c r="A1027" s="19" t="n">
        <v>43221</v>
      </c>
      <c r="B1027" t="inlineStr">
        <is>
          <t>market_place</t>
        </is>
      </c>
      <c r="C1027" t="n">
        <v>13</v>
      </c>
      <c r="D1027" t="n">
        <v>14</v>
      </c>
      <c r="E1027" t="n">
        <v>1186.79</v>
      </c>
    </row>
    <row r="1028">
      <c r="A1028" s="19" t="n">
        <v>43221</v>
      </c>
      <c r="B1028" t="inlineStr">
        <is>
          <t>music</t>
        </is>
      </c>
      <c r="C1028" t="n">
        <v>5</v>
      </c>
      <c r="D1028" t="n">
        <v>5</v>
      </c>
      <c r="E1028" t="n">
        <v>827.4</v>
      </c>
    </row>
    <row r="1029">
      <c r="A1029" s="19" t="n">
        <v>43221</v>
      </c>
      <c r="B1029" t="inlineStr">
        <is>
          <t>musical_instruments</t>
        </is>
      </c>
      <c r="C1029" t="n">
        <v>59</v>
      </c>
      <c r="D1029" t="n">
        <v>61</v>
      </c>
      <c r="E1029" t="n">
        <v>20537.04</v>
      </c>
    </row>
    <row r="1030">
      <c r="A1030" s="19" t="n">
        <v>43221</v>
      </c>
      <c r="B1030" t="inlineStr">
        <is>
          <t>office_furniture</t>
        </is>
      </c>
      <c r="C1030" t="n">
        <v>82</v>
      </c>
      <c r="D1030" t="n">
        <v>104</v>
      </c>
      <c r="E1030" t="n">
        <v>25130.31</v>
      </c>
    </row>
    <row r="1031">
      <c r="A1031" s="19" t="n">
        <v>43221</v>
      </c>
      <c r="B1031" t="inlineStr">
        <is>
          <t>party_supplies</t>
        </is>
      </c>
      <c r="C1031" t="n">
        <v>3</v>
      </c>
      <c r="D1031" t="n">
        <v>4</v>
      </c>
      <c r="E1031" t="n">
        <v>170.44</v>
      </c>
    </row>
    <row r="1032">
      <c r="A1032" s="19" t="n">
        <v>43221</v>
      </c>
      <c r="B1032" t="inlineStr">
        <is>
          <t>perfumery</t>
        </is>
      </c>
      <c r="C1032" t="n">
        <v>179</v>
      </c>
      <c r="D1032" t="n">
        <v>197</v>
      </c>
      <c r="E1032" t="n">
        <v>27616.74</v>
      </c>
    </row>
    <row r="1033">
      <c r="A1033" s="19" t="n">
        <v>43221</v>
      </c>
      <c r="B1033" t="inlineStr">
        <is>
          <t>pet_shop</t>
        </is>
      </c>
      <c r="C1033" t="n">
        <v>127</v>
      </c>
      <c r="D1033" t="n">
        <v>136</v>
      </c>
      <c r="E1033" t="n">
        <v>14084.07</v>
      </c>
    </row>
    <row r="1034">
      <c r="A1034" s="19" t="n">
        <v>43221</v>
      </c>
      <c r="B1034" t="inlineStr">
        <is>
          <t>portable_kitchen_food_preparers</t>
        </is>
      </c>
      <c r="C1034" t="n">
        <v>2</v>
      </c>
      <c r="D1034" t="n">
        <v>2</v>
      </c>
      <c r="E1034" t="n">
        <v>2046.41</v>
      </c>
    </row>
    <row r="1035">
      <c r="A1035" s="19" t="n">
        <v>43221</v>
      </c>
      <c r="B1035" t="inlineStr">
        <is>
          <t>signaling_and_security</t>
        </is>
      </c>
      <c r="C1035" t="n">
        <v>6</v>
      </c>
      <c r="D1035" t="n">
        <v>7</v>
      </c>
      <c r="E1035" t="n">
        <v>862.99</v>
      </c>
    </row>
    <row r="1036">
      <c r="A1036" s="19" t="n">
        <v>43221</v>
      </c>
      <c r="B1036" t="inlineStr">
        <is>
          <t>small_appliances</t>
        </is>
      </c>
      <c r="C1036" t="n">
        <v>39</v>
      </c>
      <c r="D1036" t="n">
        <v>48</v>
      </c>
      <c r="E1036" t="n">
        <v>11507.33</v>
      </c>
    </row>
    <row r="1037">
      <c r="A1037" s="19" t="n">
        <v>43221</v>
      </c>
      <c r="B1037" t="inlineStr">
        <is>
          <t>small_appliances_home_oven_and_coffee</t>
        </is>
      </c>
      <c r="C1037" t="n">
        <v>9</v>
      </c>
      <c r="D1037" t="n">
        <v>9</v>
      </c>
      <c r="E1037" t="n">
        <v>10474.54</v>
      </c>
    </row>
    <row r="1038">
      <c r="A1038" s="19" t="n">
        <v>43221</v>
      </c>
      <c r="B1038" t="inlineStr">
        <is>
          <t>sports_leisure</t>
        </is>
      </c>
      <c r="C1038" t="n">
        <v>449</v>
      </c>
      <c r="D1038" t="n">
        <v>489</v>
      </c>
      <c r="E1038" t="n">
        <v>68331.36</v>
      </c>
    </row>
    <row r="1039">
      <c r="A1039" s="19" t="n">
        <v>43221</v>
      </c>
      <c r="B1039" t="inlineStr">
        <is>
          <t>stationery</t>
        </is>
      </c>
      <c r="C1039" t="n">
        <v>124</v>
      </c>
      <c r="D1039" t="n">
        <v>130</v>
      </c>
      <c r="E1039" t="n">
        <v>15372.31</v>
      </c>
    </row>
    <row r="1040">
      <c r="A1040" s="19" t="n">
        <v>43221</v>
      </c>
      <c r="B1040" t="inlineStr">
        <is>
          <t>tablets_printing_image</t>
        </is>
      </c>
      <c r="C1040" t="n">
        <v>1</v>
      </c>
      <c r="D1040" t="n">
        <v>1</v>
      </c>
      <c r="E1040" t="n">
        <v>58.19</v>
      </c>
    </row>
    <row r="1041">
      <c r="A1041" s="19" t="n">
        <v>43221</v>
      </c>
      <c r="B1041" t="inlineStr">
        <is>
          <t>telephony</t>
        </is>
      </c>
      <c r="C1041" t="n">
        <v>237</v>
      </c>
      <c r="D1041" t="n">
        <v>250</v>
      </c>
      <c r="E1041" t="n">
        <v>23100.96</v>
      </c>
    </row>
    <row r="1042">
      <c r="A1042" s="19" t="n">
        <v>43221</v>
      </c>
      <c r="B1042" t="inlineStr">
        <is>
          <t>toys</t>
        </is>
      </c>
      <c r="C1042" t="n">
        <v>211</v>
      </c>
      <c r="D1042" t="n">
        <v>218</v>
      </c>
      <c r="E1042" t="n">
        <v>36155.03</v>
      </c>
    </row>
    <row r="1043">
      <c r="A1043" s="19" t="n">
        <v>43221</v>
      </c>
      <c r="B1043" t="inlineStr">
        <is>
          <t>unknown</t>
        </is>
      </c>
      <c r="C1043" t="n">
        <v>37</v>
      </c>
      <c r="D1043" t="n">
        <v>42</v>
      </c>
      <c r="E1043" t="n">
        <v>3982.07</v>
      </c>
    </row>
    <row r="1044">
      <c r="A1044" s="19" t="n">
        <v>43221</v>
      </c>
      <c r="B1044" t="inlineStr">
        <is>
          <t>watches_gifts</t>
        </is>
      </c>
      <c r="C1044" t="n">
        <v>585</v>
      </c>
      <c r="D1044" t="n">
        <v>625</v>
      </c>
      <c r="E1044" t="n">
        <v>127977.4</v>
      </c>
    </row>
    <row r="1045">
      <c r="A1045" s="19" t="n">
        <v>43252</v>
      </c>
      <c r="B1045" t="inlineStr">
        <is>
          <t>agro_industry_and_commerce</t>
        </is>
      </c>
      <c r="C1045" t="n">
        <v>10</v>
      </c>
      <c r="D1045" t="n">
        <v>10</v>
      </c>
      <c r="E1045" t="n">
        <v>3843.05</v>
      </c>
    </row>
    <row r="1046">
      <c r="A1046" s="19" t="n">
        <v>43252</v>
      </c>
      <c r="B1046" t="inlineStr">
        <is>
          <t>air_conditioning</t>
        </is>
      </c>
      <c r="C1046" t="n">
        <v>9</v>
      </c>
      <c r="D1046" t="n">
        <v>15</v>
      </c>
      <c r="E1046" t="n">
        <v>4092.94</v>
      </c>
    </row>
    <row r="1047">
      <c r="A1047" s="19" t="n">
        <v>43252</v>
      </c>
      <c r="B1047" t="inlineStr">
        <is>
          <t>art</t>
        </is>
      </c>
      <c r="C1047" t="n">
        <v>28</v>
      </c>
      <c r="D1047" t="n">
        <v>28</v>
      </c>
      <c r="E1047" t="n">
        <v>3019.18</v>
      </c>
    </row>
    <row r="1048">
      <c r="A1048" s="19" t="n">
        <v>43252</v>
      </c>
      <c r="B1048" t="inlineStr">
        <is>
          <t>audio</t>
        </is>
      </c>
      <c r="C1048" t="n">
        <v>19</v>
      </c>
      <c r="D1048" t="n">
        <v>20</v>
      </c>
      <c r="E1048" t="n">
        <v>2228.39</v>
      </c>
    </row>
    <row r="1049">
      <c r="A1049" s="19" t="n">
        <v>43252</v>
      </c>
      <c r="B1049" t="inlineStr">
        <is>
          <t>auto</t>
        </is>
      </c>
      <c r="C1049" t="n">
        <v>268</v>
      </c>
      <c r="D1049" t="n">
        <v>295</v>
      </c>
      <c r="E1049" t="n">
        <v>51875.16</v>
      </c>
    </row>
    <row r="1050">
      <c r="A1050" s="19" t="n">
        <v>43252</v>
      </c>
      <c r="B1050" t="inlineStr">
        <is>
          <t>baby</t>
        </is>
      </c>
      <c r="C1050" t="n">
        <v>205</v>
      </c>
      <c r="D1050" t="n">
        <v>223</v>
      </c>
      <c r="E1050" t="n">
        <v>36800.02</v>
      </c>
    </row>
    <row r="1051">
      <c r="A1051" s="19" t="n">
        <v>43252</v>
      </c>
      <c r="B1051" t="inlineStr">
        <is>
          <t>bed_bath_table</t>
        </is>
      </c>
      <c r="C1051" t="n">
        <v>649</v>
      </c>
      <c r="D1051" t="n">
        <v>764</v>
      </c>
      <c r="E1051" t="n">
        <v>87074.55</v>
      </c>
    </row>
    <row r="1052">
      <c r="A1052" s="19" t="n">
        <v>43252</v>
      </c>
      <c r="B1052" t="inlineStr">
        <is>
          <t>books_general_interest</t>
        </is>
      </c>
      <c r="C1052" t="n">
        <v>32</v>
      </c>
      <c r="D1052" t="n">
        <v>38</v>
      </c>
      <c r="E1052" t="n">
        <v>3879.1</v>
      </c>
    </row>
    <row r="1053">
      <c r="A1053" s="19" t="n">
        <v>43252</v>
      </c>
      <c r="B1053" t="inlineStr">
        <is>
          <t>books_imported</t>
        </is>
      </c>
      <c r="C1053" t="n">
        <v>9</v>
      </c>
      <c r="D1053" t="n">
        <v>9</v>
      </c>
      <c r="E1053" t="n">
        <v>606.16</v>
      </c>
    </row>
    <row r="1054">
      <c r="A1054" s="19" t="n">
        <v>43252</v>
      </c>
      <c r="B1054" t="inlineStr">
        <is>
          <t>books_technical</t>
        </is>
      </c>
      <c r="C1054" t="n">
        <v>26</v>
      </c>
      <c r="D1054" t="n">
        <v>26</v>
      </c>
      <c r="E1054" t="n">
        <v>2184.59</v>
      </c>
    </row>
    <row r="1055">
      <c r="A1055" s="19" t="n">
        <v>43252</v>
      </c>
      <c r="B1055" t="inlineStr">
        <is>
          <t>christmas_supplies</t>
        </is>
      </c>
      <c r="C1055" t="n">
        <v>6</v>
      </c>
      <c r="D1055" t="n">
        <v>7</v>
      </c>
      <c r="E1055" t="n">
        <v>476.71</v>
      </c>
    </row>
    <row r="1056">
      <c r="A1056" s="19" t="n">
        <v>43252</v>
      </c>
      <c r="B1056" t="inlineStr">
        <is>
          <t>cine_photo</t>
        </is>
      </c>
      <c r="C1056" t="n">
        <v>9</v>
      </c>
      <c r="D1056" t="n">
        <v>13</v>
      </c>
      <c r="E1056" t="n">
        <v>609.36</v>
      </c>
    </row>
    <row r="1057">
      <c r="A1057" s="19" t="n">
        <v>43252</v>
      </c>
      <c r="B1057" t="inlineStr">
        <is>
          <t>computers</t>
        </is>
      </c>
      <c r="C1057" t="n">
        <v>8</v>
      </c>
      <c r="D1057" t="n">
        <v>13</v>
      </c>
      <c r="E1057" t="n">
        <v>13867.87</v>
      </c>
    </row>
    <row r="1058">
      <c r="A1058" s="19" t="n">
        <v>43252</v>
      </c>
      <c r="B1058" t="inlineStr">
        <is>
          <t>computers_accessories</t>
        </is>
      </c>
      <c r="C1058" t="n">
        <v>352</v>
      </c>
      <c r="D1058" t="n">
        <v>401</v>
      </c>
      <c r="E1058" t="n">
        <v>50533.12</v>
      </c>
    </row>
    <row r="1059">
      <c r="A1059" s="19" t="n">
        <v>43252</v>
      </c>
      <c r="B1059" t="inlineStr">
        <is>
          <t>consoles_games</t>
        </is>
      </c>
      <c r="C1059" t="n">
        <v>41</v>
      </c>
      <c r="D1059" t="n">
        <v>43</v>
      </c>
      <c r="E1059" t="n">
        <v>7642.03</v>
      </c>
    </row>
    <row r="1060">
      <c r="A1060" s="19" t="n">
        <v>43252</v>
      </c>
      <c r="B1060" t="inlineStr">
        <is>
          <t>construction_tools_construction</t>
        </is>
      </c>
      <c r="C1060" t="n">
        <v>108</v>
      </c>
      <c r="D1060" t="n">
        <v>113</v>
      </c>
      <c r="E1060" t="n">
        <v>25372.45</v>
      </c>
    </row>
    <row r="1061">
      <c r="A1061" s="19" t="n">
        <v>43252</v>
      </c>
      <c r="B1061" t="inlineStr">
        <is>
          <t>construction_tools_lights</t>
        </is>
      </c>
      <c r="C1061" t="n">
        <v>35</v>
      </c>
      <c r="D1061" t="n">
        <v>44</v>
      </c>
      <c r="E1061" t="n">
        <v>5538.59</v>
      </c>
    </row>
    <row r="1062">
      <c r="A1062" s="19" t="n">
        <v>43252</v>
      </c>
      <c r="B1062" t="inlineStr">
        <is>
          <t>construction_tools_safety</t>
        </is>
      </c>
      <c r="C1062" t="n">
        <v>16</v>
      </c>
      <c r="D1062" t="n">
        <v>16</v>
      </c>
      <c r="E1062" t="n">
        <v>2972.88</v>
      </c>
    </row>
    <row r="1063">
      <c r="A1063" s="19" t="n">
        <v>43252</v>
      </c>
      <c r="B1063" t="inlineStr">
        <is>
          <t>cool_stuff</t>
        </is>
      </c>
      <c r="C1063" t="n">
        <v>100</v>
      </c>
      <c r="D1063" t="n">
        <v>103</v>
      </c>
      <c r="E1063" t="n">
        <v>22026.04</v>
      </c>
    </row>
    <row r="1064">
      <c r="A1064" s="19" t="n">
        <v>43252</v>
      </c>
      <c r="B1064" t="inlineStr">
        <is>
          <t>costruction_tools_garden</t>
        </is>
      </c>
      <c r="C1064" t="n">
        <v>11</v>
      </c>
      <c r="D1064" t="n">
        <v>11</v>
      </c>
      <c r="E1064" t="n">
        <v>1067.6</v>
      </c>
    </row>
    <row r="1065">
      <c r="A1065" s="19" t="n">
        <v>43252</v>
      </c>
      <c r="B1065" t="inlineStr">
        <is>
          <t>costruction_tools_tools</t>
        </is>
      </c>
      <c r="C1065" t="n">
        <v>4</v>
      </c>
      <c r="D1065" t="n">
        <v>4</v>
      </c>
      <c r="E1065" t="n">
        <v>623.8099999999999</v>
      </c>
    </row>
    <row r="1066">
      <c r="A1066" s="19" t="n">
        <v>43252</v>
      </c>
      <c r="B1066" t="inlineStr">
        <is>
          <t>diapers_and_hygiene</t>
        </is>
      </c>
      <c r="C1066" t="n">
        <v>7</v>
      </c>
      <c r="D1066" t="n">
        <v>7</v>
      </c>
      <c r="E1066" t="n">
        <v>427.7</v>
      </c>
    </row>
    <row r="1067">
      <c r="A1067" s="19" t="n">
        <v>43252</v>
      </c>
      <c r="B1067" t="inlineStr">
        <is>
          <t>drinks</t>
        </is>
      </c>
      <c r="C1067" t="n">
        <v>30</v>
      </c>
      <c r="D1067" t="n">
        <v>33</v>
      </c>
      <c r="E1067" t="n">
        <v>2053.4</v>
      </c>
    </row>
    <row r="1068">
      <c r="A1068" s="19" t="n">
        <v>43252</v>
      </c>
      <c r="B1068" t="inlineStr">
        <is>
          <t>dvds_blu_ray</t>
        </is>
      </c>
      <c r="C1068" t="n">
        <v>5</v>
      </c>
      <c r="D1068" t="n">
        <v>6</v>
      </c>
      <c r="E1068" t="n">
        <v>505.03</v>
      </c>
    </row>
    <row r="1069">
      <c r="A1069" s="19" t="n">
        <v>43252</v>
      </c>
      <c r="B1069" t="inlineStr">
        <is>
          <t>electronics</t>
        </is>
      </c>
      <c r="C1069" t="n">
        <v>174</v>
      </c>
      <c r="D1069" t="n">
        <v>191</v>
      </c>
      <c r="E1069" t="n">
        <v>12946.08</v>
      </c>
    </row>
    <row r="1070">
      <c r="A1070" s="19" t="n">
        <v>43252</v>
      </c>
      <c r="B1070" t="inlineStr">
        <is>
          <t>fashion_bags_accessories</t>
        </is>
      </c>
      <c r="C1070" t="n">
        <v>82</v>
      </c>
      <c r="D1070" t="n">
        <v>87</v>
      </c>
      <c r="E1070" t="n">
        <v>9388.360000000001</v>
      </c>
    </row>
    <row r="1071">
      <c r="A1071" s="19" t="n">
        <v>43252</v>
      </c>
      <c r="B1071" t="inlineStr">
        <is>
          <t>fashion_childrens_clothes</t>
        </is>
      </c>
      <c r="C1071" t="n">
        <v>1</v>
      </c>
      <c r="D1071" t="n">
        <v>1</v>
      </c>
      <c r="E1071" t="n">
        <v>97.48</v>
      </c>
    </row>
    <row r="1072">
      <c r="A1072" s="19" t="n">
        <v>43252</v>
      </c>
      <c r="B1072" t="inlineStr">
        <is>
          <t>fashion_male_clothing</t>
        </is>
      </c>
      <c r="C1072" t="n">
        <v>6</v>
      </c>
      <c r="D1072" t="n">
        <v>7</v>
      </c>
      <c r="E1072" t="n">
        <v>554.4300000000001</v>
      </c>
    </row>
    <row r="1073">
      <c r="A1073" s="19" t="n">
        <v>43252</v>
      </c>
      <c r="B1073" t="inlineStr">
        <is>
          <t>fashion_shoes</t>
        </is>
      </c>
      <c r="C1073" t="n">
        <v>10</v>
      </c>
      <c r="D1073" t="n">
        <v>10</v>
      </c>
      <c r="E1073" t="n">
        <v>1450.18</v>
      </c>
    </row>
    <row r="1074">
      <c r="A1074" s="19" t="n">
        <v>43252</v>
      </c>
      <c r="B1074" t="inlineStr">
        <is>
          <t>fashion_underwear_beach</t>
        </is>
      </c>
      <c r="C1074" t="n">
        <v>3</v>
      </c>
      <c r="D1074" t="n">
        <v>7</v>
      </c>
      <c r="E1074" t="n">
        <v>236.76</v>
      </c>
    </row>
    <row r="1075">
      <c r="A1075" s="19" t="n">
        <v>43252</v>
      </c>
      <c r="B1075" t="inlineStr">
        <is>
          <t>fixed_telephony</t>
        </is>
      </c>
      <c r="C1075" t="n">
        <v>15</v>
      </c>
      <c r="D1075" t="n">
        <v>17</v>
      </c>
      <c r="E1075" t="n">
        <v>2422.52</v>
      </c>
    </row>
    <row r="1076">
      <c r="A1076" s="19" t="n">
        <v>43252</v>
      </c>
      <c r="B1076" t="inlineStr">
        <is>
          <t>flowers</t>
        </is>
      </c>
      <c r="C1076" t="n">
        <v>1</v>
      </c>
      <c r="D1076" t="n">
        <v>2</v>
      </c>
      <c r="E1076" t="n">
        <v>140.7</v>
      </c>
    </row>
    <row r="1077">
      <c r="A1077" s="19" t="n">
        <v>43252</v>
      </c>
      <c r="B1077" t="inlineStr">
        <is>
          <t>food</t>
        </is>
      </c>
      <c r="C1077" t="n">
        <v>24</v>
      </c>
      <c r="D1077" t="n">
        <v>24</v>
      </c>
      <c r="E1077" t="n">
        <v>1693.59</v>
      </c>
    </row>
    <row r="1078">
      <c r="A1078" s="19" t="n">
        <v>43252</v>
      </c>
      <c r="B1078" t="inlineStr">
        <is>
          <t>food_drink</t>
        </is>
      </c>
      <c r="C1078" t="n">
        <v>9</v>
      </c>
      <c r="D1078" t="n">
        <v>11</v>
      </c>
      <c r="E1078" t="n">
        <v>512.8099999999999</v>
      </c>
    </row>
    <row r="1079">
      <c r="A1079" s="19" t="n">
        <v>43252</v>
      </c>
      <c r="B1079" t="inlineStr">
        <is>
          <t>furniture_bedroom</t>
        </is>
      </c>
      <c r="C1079" t="n">
        <v>8</v>
      </c>
      <c r="D1079" t="n">
        <v>9</v>
      </c>
      <c r="E1079" t="n">
        <v>1941.82</v>
      </c>
    </row>
    <row r="1080">
      <c r="A1080" s="19" t="n">
        <v>43252</v>
      </c>
      <c r="B1080" t="inlineStr">
        <is>
          <t>furniture_decor</t>
        </is>
      </c>
      <c r="C1080" t="n">
        <v>316</v>
      </c>
      <c r="D1080" t="n">
        <v>402</v>
      </c>
      <c r="E1080" t="n">
        <v>52315.87</v>
      </c>
    </row>
    <row r="1081">
      <c r="A1081" s="19" t="n">
        <v>43252</v>
      </c>
      <c r="B1081" t="inlineStr">
        <is>
          <t>furniture_living_room</t>
        </is>
      </c>
      <c r="C1081" t="n">
        <v>27</v>
      </c>
      <c r="D1081" t="n">
        <v>29</v>
      </c>
      <c r="E1081" t="n">
        <v>4529.65</v>
      </c>
    </row>
    <row r="1082">
      <c r="A1082" s="19" t="n">
        <v>43252</v>
      </c>
      <c r="B1082" t="inlineStr">
        <is>
          <t>garden_tools</t>
        </is>
      </c>
      <c r="C1082" t="n">
        <v>148</v>
      </c>
      <c r="D1082" t="n">
        <v>184</v>
      </c>
      <c r="E1082" t="n">
        <v>23031.2</v>
      </c>
    </row>
    <row r="1083">
      <c r="A1083" s="19" t="n">
        <v>43252</v>
      </c>
      <c r="B1083" t="inlineStr">
        <is>
          <t>health_beauty</t>
        </is>
      </c>
      <c r="C1083" t="n">
        <v>790</v>
      </c>
      <c r="D1083" t="n">
        <v>875</v>
      </c>
      <c r="E1083" t="n">
        <v>123857.97</v>
      </c>
    </row>
    <row r="1084">
      <c r="A1084" s="19" t="n">
        <v>43252</v>
      </c>
      <c r="B1084" t="inlineStr">
        <is>
          <t>home_appliances</t>
        </is>
      </c>
      <c r="C1084" t="n">
        <v>65</v>
      </c>
      <c r="D1084" t="n">
        <v>65</v>
      </c>
      <c r="E1084" t="n">
        <v>7142.21</v>
      </c>
    </row>
    <row r="1085">
      <c r="A1085" s="19" t="n">
        <v>43252</v>
      </c>
      <c r="B1085" t="inlineStr">
        <is>
          <t>home_appliances_2</t>
        </is>
      </c>
      <c r="C1085" t="n">
        <v>18</v>
      </c>
      <c r="D1085" t="n">
        <v>19</v>
      </c>
      <c r="E1085" t="n">
        <v>9112.540000000001</v>
      </c>
    </row>
    <row r="1086">
      <c r="A1086" s="19" t="n">
        <v>43252</v>
      </c>
      <c r="B1086" t="inlineStr">
        <is>
          <t>home_comfort_2</t>
        </is>
      </c>
      <c r="C1086" t="n">
        <v>1</v>
      </c>
      <c r="D1086" t="n">
        <v>2</v>
      </c>
      <c r="E1086" t="n">
        <v>51.38</v>
      </c>
    </row>
    <row r="1087">
      <c r="A1087" s="19" t="n">
        <v>43252</v>
      </c>
      <c r="B1087" t="inlineStr">
        <is>
          <t>home_confort</t>
        </is>
      </c>
      <c r="C1087" t="n">
        <v>16</v>
      </c>
      <c r="D1087" t="n">
        <v>16</v>
      </c>
      <c r="E1087" t="n">
        <v>2701.94</v>
      </c>
    </row>
    <row r="1088">
      <c r="A1088" s="19" t="n">
        <v>43252</v>
      </c>
      <c r="B1088" t="inlineStr">
        <is>
          <t>home_construction</t>
        </is>
      </c>
      <c r="C1088" t="n">
        <v>60</v>
      </c>
      <c r="D1088" t="n">
        <v>71</v>
      </c>
      <c r="E1088" t="n">
        <v>10936.73</v>
      </c>
    </row>
    <row r="1089">
      <c r="A1089" s="19" t="n">
        <v>43252</v>
      </c>
      <c r="B1089" t="inlineStr">
        <is>
          <t>housewares</t>
        </is>
      </c>
      <c r="C1089" t="n">
        <v>464</v>
      </c>
      <c r="D1089" t="n">
        <v>577</v>
      </c>
      <c r="E1089" t="n">
        <v>69263.67</v>
      </c>
    </row>
    <row r="1090">
      <c r="A1090" s="19" t="n">
        <v>43252</v>
      </c>
      <c r="B1090" t="inlineStr">
        <is>
          <t>industry_commerce_and_business</t>
        </is>
      </c>
      <c r="C1090" t="n">
        <v>21</v>
      </c>
      <c r="D1090" t="n">
        <v>26</v>
      </c>
      <c r="E1090" t="n">
        <v>3533.92</v>
      </c>
    </row>
    <row r="1091">
      <c r="A1091" s="19" t="n">
        <v>43252</v>
      </c>
      <c r="B1091" t="inlineStr">
        <is>
          <t>kitchen_dining_laundry_garden_furniture</t>
        </is>
      </c>
      <c r="C1091" t="n">
        <v>21</v>
      </c>
      <c r="D1091" t="n">
        <v>29</v>
      </c>
      <c r="E1091" t="n">
        <v>4535.219999999999</v>
      </c>
    </row>
    <row r="1092">
      <c r="A1092" s="19" t="n">
        <v>43252</v>
      </c>
      <c r="B1092" t="inlineStr">
        <is>
          <t>luggage_accessories</t>
        </is>
      </c>
      <c r="C1092" t="n">
        <v>36</v>
      </c>
      <c r="D1092" t="n">
        <v>36</v>
      </c>
      <c r="E1092" t="n">
        <v>6138.72</v>
      </c>
    </row>
    <row r="1093">
      <c r="A1093" s="19" t="n">
        <v>43252</v>
      </c>
      <c r="B1093" t="inlineStr">
        <is>
          <t>market_place</t>
        </is>
      </c>
      <c r="C1093" t="n">
        <v>7</v>
      </c>
      <c r="D1093" t="n">
        <v>7</v>
      </c>
      <c r="E1093" t="n">
        <v>678.79</v>
      </c>
    </row>
    <row r="1094">
      <c r="A1094" s="19" t="n">
        <v>43252</v>
      </c>
      <c r="B1094" t="inlineStr">
        <is>
          <t>music</t>
        </is>
      </c>
      <c r="C1094" t="n">
        <v>3</v>
      </c>
      <c r="D1094" t="n">
        <v>3</v>
      </c>
      <c r="E1094" t="n">
        <v>169.56</v>
      </c>
    </row>
    <row r="1095">
      <c r="A1095" s="19" t="n">
        <v>43252</v>
      </c>
      <c r="B1095" t="inlineStr">
        <is>
          <t>musical_instruments</t>
        </is>
      </c>
      <c r="C1095" t="n">
        <v>46</v>
      </c>
      <c r="D1095" t="n">
        <v>47</v>
      </c>
      <c r="E1095" t="n">
        <v>17970.76</v>
      </c>
    </row>
    <row r="1096">
      <c r="A1096" s="19" t="n">
        <v>43252</v>
      </c>
      <c r="B1096" t="inlineStr">
        <is>
          <t>office_furniture</t>
        </is>
      </c>
      <c r="C1096" t="n">
        <v>59</v>
      </c>
      <c r="D1096" t="n">
        <v>76</v>
      </c>
      <c r="E1096" t="n">
        <v>15911.92</v>
      </c>
    </row>
    <row r="1097">
      <c r="A1097" s="19" t="n">
        <v>43252</v>
      </c>
      <c r="B1097" t="inlineStr">
        <is>
          <t>party_supplies</t>
        </is>
      </c>
      <c r="C1097" t="n">
        <v>2</v>
      </c>
      <c r="D1097" t="n">
        <v>2</v>
      </c>
      <c r="E1097" t="n">
        <v>112.38</v>
      </c>
    </row>
    <row r="1098">
      <c r="A1098" s="19" t="n">
        <v>43252</v>
      </c>
      <c r="B1098" t="inlineStr">
        <is>
          <t>perfumery</t>
        </is>
      </c>
      <c r="C1098" t="n">
        <v>166</v>
      </c>
      <c r="D1098" t="n">
        <v>186</v>
      </c>
      <c r="E1098" t="n">
        <v>30594.76</v>
      </c>
    </row>
    <row r="1099">
      <c r="A1099" s="19" t="n">
        <v>43252</v>
      </c>
      <c r="B1099" t="inlineStr">
        <is>
          <t>pet_shop</t>
        </is>
      </c>
      <c r="C1099" t="n">
        <v>151</v>
      </c>
      <c r="D1099" t="n">
        <v>178</v>
      </c>
      <c r="E1099" t="n">
        <v>23421.37</v>
      </c>
    </row>
    <row r="1100">
      <c r="A1100" s="19" t="n">
        <v>43252</v>
      </c>
      <c r="B1100" t="inlineStr">
        <is>
          <t>signaling_and_security</t>
        </is>
      </c>
      <c r="C1100" t="n">
        <v>18</v>
      </c>
      <c r="D1100" t="n">
        <v>27</v>
      </c>
      <c r="E1100" t="n">
        <v>6940.76</v>
      </c>
    </row>
    <row r="1101">
      <c r="A1101" s="19" t="n">
        <v>43252</v>
      </c>
      <c r="B1101" t="inlineStr">
        <is>
          <t>small_appliances</t>
        </is>
      </c>
      <c r="C1101" t="n">
        <v>43</v>
      </c>
      <c r="D1101" t="n">
        <v>49</v>
      </c>
      <c r="E1101" t="n">
        <v>16551.07</v>
      </c>
    </row>
    <row r="1102">
      <c r="A1102" s="19" t="n">
        <v>43252</v>
      </c>
      <c r="B1102" t="inlineStr">
        <is>
          <t>small_appliances_home_oven_and_coffee</t>
        </is>
      </c>
      <c r="C1102" t="n">
        <v>3</v>
      </c>
      <c r="D1102" t="n">
        <v>3</v>
      </c>
      <c r="E1102" t="n">
        <v>3672.13</v>
      </c>
    </row>
    <row r="1103">
      <c r="A1103" s="19" t="n">
        <v>43252</v>
      </c>
      <c r="B1103" t="inlineStr">
        <is>
          <t>sports_leisure</t>
        </is>
      </c>
      <c r="C1103" t="n">
        <v>371</v>
      </c>
      <c r="D1103" t="n">
        <v>419</v>
      </c>
      <c r="E1103" t="n">
        <v>53768.47</v>
      </c>
    </row>
    <row r="1104">
      <c r="A1104" s="19" t="n">
        <v>43252</v>
      </c>
      <c r="B1104" t="inlineStr">
        <is>
          <t>stationery</t>
        </is>
      </c>
      <c r="C1104" t="n">
        <v>145</v>
      </c>
      <c r="D1104" t="n">
        <v>167</v>
      </c>
      <c r="E1104" t="n">
        <v>16026.05</v>
      </c>
    </row>
    <row r="1105">
      <c r="A1105" s="19" t="n">
        <v>43252</v>
      </c>
      <c r="B1105" t="inlineStr">
        <is>
          <t>tablets_printing_image</t>
        </is>
      </c>
      <c r="C1105" t="n">
        <v>1</v>
      </c>
      <c r="D1105" t="n">
        <v>1</v>
      </c>
      <c r="E1105" t="n">
        <v>72.84999999999999</v>
      </c>
    </row>
    <row r="1106">
      <c r="A1106" s="19" t="n">
        <v>43252</v>
      </c>
      <c r="B1106" t="inlineStr">
        <is>
          <t>telephony</t>
        </is>
      </c>
      <c r="C1106" t="n">
        <v>202</v>
      </c>
      <c r="D1106" t="n">
        <v>216</v>
      </c>
      <c r="E1106" t="n">
        <v>26387.64</v>
      </c>
    </row>
    <row r="1107">
      <c r="A1107" s="19" t="n">
        <v>43252</v>
      </c>
      <c r="B1107" t="inlineStr">
        <is>
          <t>toys</t>
        </is>
      </c>
      <c r="C1107" t="n">
        <v>176</v>
      </c>
      <c r="D1107" t="n">
        <v>190</v>
      </c>
      <c r="E1107" t="n">
        <v>25157.51</v>
      </c>
    </row>
    <row r="1108">
      <c r="A1108" s="19" t="n">
        <v>43252</v>
      </c>
      <c r="B1108" t="inlineStr">
        <is>
          <t>unknown</t>
        </is>
      </c>
      <c r="C1108" t="n">
        <v>22</v>
      </c>
      <c r="D1108" t="n">
        <v>23</v>
      </c>
      <c r="E1108" t="n">
        <v>2805.7</v>
      </c>
    </row>
    <row r="1109">
      <c r="A1109" s="19" t="n">
        <v>43252</v>
      </c>
      <c r="B1109" t="inlineStr">
        <is>
          <t>watches_gifts</t>
        </is>
      </c>
      <c r="C1109" t="n">
        <v>444</v>
      </c>
      <c r="D1109" t="n">
        <v>477</v>
      </c>
      <c r="E1109" t="n">
        <v>93881.09</v>
      </c>
    </row>
    <row r="1110">
      <c r="A1110" s="19" t="n">
        <v>43282</v>
      </c>
      <c r="B1110" t="inlineStr">
        <is>
          <t>agro_industry_and_commerce</t>
        </is>
      </c>
      <c r="C1110" t="n">
        <v>26</v>
      </c>
      <c r="D1110" t="n">
        <v>27</v>
      </c>
      <c r="E1110" t="n">
        <v>7520.33</v>
      </c>
    </row>
    <row r="1111">
      <c r="A1111" s="19" t="n">
        <v>43282</v>
      </c>
      <c r="B1111" t="inlineStr">
        <is>
          <t>air_conditioning</t>
        </is>
      </c>
      <c r="C1111" t="n">
        <v>15</v>
      </c>
      <c r="D1111" t="n">
        <v>17</v>
      </c>
      <c r="E1111" t="n">
        <v>3137.45</v>
      </c>
    </row>
    <row r="1112">
      <c r="A1112" s="19" t="n">
        <v>43282</v>
      </c>
      <c r="B1112" t="inlineStr">
        <is>
          <t>art</t>
        </is>
      </c>
      <c r="C1112" t="n">
        <v>21</v>
      </c>
      <c r="D1112" t="n">
        <v>21</v>
      </c>
      <c r="E1112" t="n">
        <v>2265.73</v>
      </c>
    </row>
    <row r="1113">
      <c r="A1113" s="19" t="n">
        <v>43282</v>
      </c>
      <c r="B1113" t="inlineStr">
        <is>
          <t>arts_and_craftmanship</t>
        </is>
      </c>
      <c r="C1113" t="n">
        <v>10</v>
      </c>
      <c r="D1113" t="n">
        <v>11</v>
      </c>
      <c r="E1113" t="n">
        <v>804.5999999999999</v>
      </c>
    </row>
    <row r="1114">
      <c r="A1114" s="19" t="n">
        <v>43282</v>
      </c>
      <c r="B1114" t="inlineStr">
        <is>
          <t>audio</t>
        </is>
      </c>
      <c r="C1114" t="n">
        <v>21</v>
      </c>
      <c r="D1114" t="n">
        <v>22</v>
      </c>
      <c r="E1114" t="n">
        <v>2409</v>
      </c>
    </row>
    <row r="1115">
      <c r="A1115" s="19" t="n">
        <v>43282</v>
      </c>
      <c r="B1115" t="inlineStr">
        <is>
          <t>auto</t>
        </is>
      </c>
      <c r="C1115" t="n">
        <v>324</v>
      </c>
      <c r="D1115" t="n">
        <v>341</v>
      </c>
      <c r="E1115" t="n">
        <v>50763.36</v>
      </c>
    </row>
    <row r="1116">
      <c r="A1116" s="19" t="n">
        <v>43282</v>
      </c>
      <c r="B1116" t="inlineStr">
        <is>
          <t>baby</t>
        </is>
      </c>
      <c r="C1116" t="n">
        <v>206</v>
      </c>
      <c r="D1116" t="n">
        <v>214</v>
      </c>
      <c r="E1116" t="n">
        <v>26894.69</v>
      </c>
    </row>
    <row r="1117">
      <c r="A1117" s="19" t="n">
        <v>43282</v>
      </c>
      <c r="B1117" t="inlineStr">
        <is>
          <t>bed_bath_table</t>
        </is>
      </c>
      <c r="C1117" t="n">
        <v>511</v>
      </c>
      <c r="D1117" t="n">
        <v>617</v>
      </c>
      <c r="E1117" t="n">
        <v>67850.11</v>
      </c>
    </row>
    <row r="1118">
      <c r="A1118" s="19" t="n">
        <v>43282</v>
      </c>
      <c r="B1118" t="inlineStr">
        <is>
          <t>books_general_interest</t>
        </is>
      </c>
      <c r="C1118" t="n">
        <v>25</v>
      </c>
      <c r="D1118" t="n">
        <v>25</v>
      </c>
      <c r="E1118" t="n">
        <v>4496.16</v>
      </c>
    </row>
    <row r="1119">
      <c r="A1119" s="19" t="n">
        <v>43282</v>
      </c>
      <c r="B1119" t="inlineStr">
        <is>
          <t>books_imported</t>
        </is>
      </c>
      <c r="C1119" t="n">
        <v>5</v>
      </c>
      <c r="D1119" t="n">
        <v>7</v>
      </c>
      <c r="E1119" t="n">
        <v>464.04</v>
      </c>
    </row>
    <row r="1120">
      <c r="A1120" s="19" t="n">
        <v>43282</v>
      </c>
      <c r="B1120" t="inlineStr">
        <is>
          <t>books_technical</t>
        </is>
      </c>
      <c r="C1120" t="n">
        <v>26</v>
      </c>
      <c r="D1120" t="n">
        <v>26</v>
      </c>
      <c r="E1120" t="n">
        <v>2461.19</v>
      </c>
    </row>
    <row r="1121">
      <c r="A1121" s="19" t="n">
        <v>43282</v>
      </c>
      <c r="B1121" t="inlineStr">
        <is>
          <t>christmas_supplies</t>
        </is>
      </c>
      <c r="C1121" t="n">
        <v>8</v>
      </c>
      <c r="D1121" t="n">
        <v>8</v>
      </c>
      <c r="E1121" t="n">
        <v>661.66</v>
      </c>
    </row>
    <row r="1122">
      <c r="A1122" s="19" t="n">
        <v>43282</v>
      </c>
      <c r="B1122" t="inlineStr">
        <is>
          <t>cine_photo</t>
        </is>
      </c>
      <c r="C1122" t="n">
        <v>7</v>
      </c>
      <c r="D1122" t="n">
        <v>7</v>
      </c>
      <c r="E1122" t="n">
        <v>1291.61</v>
      </c>
    </row>
    <row r="1123">
      <c r="A1123" s="19" t="n">
        <v>43282</v>
      </c>
      <c r="B1123" t="inlineStr">
        <is>
          <t>computers</t>
        </is>
      </c>
      <c r="C1123" t="n">
        <v>8</v>
      </c>
      <c r="D1123" t="n">
        <v>8</v>
      </c>
      <c r="E1123" t="n">
        <v>11947.48</v>
      </c>
    </row>
    <row r="1124">
      <c r="A1124" s="19" t="n">
        <v>43282</v>
      </c>
      <c r="B1124" t="inlineStr">
        <is>
          <t>computers_accessories</t>
        </is>
      </c>
      <c r="C1124" t="n">
        <v>381</v>
      </c>
      <c r="D1124" t="n">
        <v>418</v>
      </c>
      <c r="E1124" t="n">
        <v>49503.19</v>
      </c>
    </row>
    <row r="1125">
      <c r="A1125" s="19" t="n">
        <v>43282</v>
      </c>
      <c r="B1125" t="inlineStr">
        <is>
          <t>consoles_games</t>
        </is>
      </c>
      <c r="C1125" t="n">
        <v>49</v>
      </c>
      <c r="D1125" t="n">
        <v>49</v>
      </c>
      <c r="E1125" t="n">
        <v>9539.139999999999</v>
      </c>
    </row>
    <row r="1126">
      <c r="A1126" s="19" t="n">
        <v>43282</v>
      </c>
      <c r="B1126" t="inlineStr">
        <is>
          <t>construction_tools_construction</t>
        </is>
      </c>
      <c r="C1126" t="n">
        <v>98</v>
      </c>
      <c r="D1126" t="n">
        <v>115</v>
      </c>
      <c r="E1126" t="n">
        <v>17589.95</v>
      </c>
    </row>
    <row r="1127">
      <c r="A1127" s="19" t="n">
        <v>43282</v>
      </c>
      <c r="B1127" t="inlineStr">
        <is>
          <t>construction_tools_lights</t>
        </is>
      </c>
      <c r="C1127" t="n">
        <v>40</v>
      </c>
      <c r="D1127" t="n">
        <v>55</v>
      </c>
      <c r="E1127" t="n">
        <v>8631.4</v>
      </c>
    </row>
    <row r="1128">
      <c r="A1128" s="19" t="n">
        <v>43282</v>
      </c>
      <c r="B1128" t="inlineStr">
        <is>
          <t>construction_tools_safety</t>
        </is>
      </c>
      <c r="C1128" t="n">
        <v>15</v>
      </c>
      <c r="D1128" t="n">
        <v>15</v>
      </c>
      <c r="E1128" t="n">
        <v>2142.9</v>
      </c>
    </row>
    <row r="1129">
      <c r="A1129" s="19" t="n">
        <v>43282</v>
      </c>
      <c r="B1129" t="inlineStr">
        <is>
          <t>cool_stuff</t>
        </is>
      </c>
      <c r="C1129" t="n">
        <v>113</v>
      </c>
      <c r="D1129" t="n">
        <v>115</v>
      </c>
      <c r="E1129" t="n">
        <v>24405.58</v>
      </c>
    </row>
    <row r="1130">
      <c r="A1130" s="19" t="n">
        <v>43282</v>
      </c>
      <c r="B1130" t="inlineStr">
        <is>
          <t>costruction_tools_garden</t>
        </is>
      </c>
      <c r="C1130" t="n">
        <v>19</v>
      </c>
      <c r="D1130" t="n">
        <v>22</v>
      </c>
      <c r="E1130" t="n">
        <v>2520.09</v>
      </c>
    </row>
    <row r="1131">
      <c r="A1131" s="19" t="n">
        <v>43282</v>
      </c>
      <c r="B1131" t="inlineStr">
        <is>
          <t>costruction_tools_tools</t>
        </is>
      </c>
      <c r="C1131" t="n">
        <v>10</v>
      </c>
      <c r="D1131" t="n">
        <v>12</v>
      </c>
      <c r="E1131" t="n">
        <v>5779.450000000001</v>
      </c>
    </row>
    <row r="1132">
      <c r="A1132" s="19" t="n">
        <v>43282</v>
      </c>
      <c r="B1132" t="inlineStr">
        <is>
          <t>diapers_and_hygiene</t>
        </is>
      </c>
      <c r="C1132" t="n">
        <v>3</v>
      </c>
      <c r="D1132" t="n">
        <v>3</v>
      </c>
      <c r="E1132" t="n">
        <v>197.89</v>
      </c>
    </row>
    <row r="1133">
      <c r="A1133" s="19" t="n">
        <v>43282</v>
      </c>
      <c r="B1133" t="inlineStr">
        <is>
          <t>drinks</t>
        </is>
      </c>
      <c r="C1133" t="n">
        <v>16</v>
      </c>
      <c r="D1133" t="n">
        <v>16</v>
      </c>
      <c r="E1133" t="n">
        <v>1538.48</v>
      </c>
    </row>
    <row r="1134">
      <c r="A1134" s="19" t="n">
        <v>43282</v>
      </c>
      <c r="B1134" t="inlineStr">
        <is>
          <t>dvds_blu_ray</t>
        </is>
      </c>
      <c r="C1134" t="n">
        <v>1</v>
      </c>
      <c r="D1134" t="n">
        <v>1</v>
      </c>
      <c r="E1134" t="n">
        <v>96.88</v>
      </c>
    </row>
    <row r="1135">
      <c r="A1135" s="19" t="n">
        <v>43282</v>
      </c>
      <c r="B1135" t="inlineStr">
        <is>
          <t>electronics</t>
        </is>
      </c>
      <c r="C1135" t="n">
        <v>142</v>
      </c>
      <c r="D1135" t="n">
        <v>151</v>
      </c>
      <c r="E1135" t="n">
        <v>11744.09</v>
      </c>
    </row>
    <row r="1136">
      <c r="A1136" s="19" t="n">
        <v>43282</v>
      </c>
      <c r="B1136" t="inlineStr">
        <is>
          <t>fashion_bags_accessories</t>
        </is>
      </c>
      <c r="C1136" t="n">
        <v>74</v>
      </c>
      <c r="D1136" t="n">
        <v>74</v>
      </c>
      <c r="E1136" t="n">
        <v>7271.87</v>
      </c>
    </row>
    <row r="1137">
      <c r="A1137" s="19" t="n">
        <v>43282</v>
      </c>
      <c r="B1137" t="inlineStr">
        <is>
          <t>fashion_male_clothing</t>
        </is>
      </c>
      <c r="C1137" t="n">
        <v>5</v>
      </c>
      <c r="D1137" t="n">
        <v>5</v>
      </c>
      <c r="E1137" t="n">
        <v>295.6799999999999</v>
      </c>
    </row>
    <row r="1138">
      <c r="A1138" s="19" t="n">
        <v>43282</v>
      </c>
      <c r="B1138" t="inlineStr">
        <is>
          <t>fashion_shoes</t>
        </is>
      </c>
      <c r="C1138" t="n">
        <v>5</v>
      </c>
      <c r="D1138" t="n">
        <v>5</v>
      </c>
      <c r="E1138" t="n">
        <v>985.4399999999999</v>
      </c>
    </row>
    <row r="1139">
      <c r="A1139" s="19" t="n">
        <v>43282</v>
      </c>
      <c r="B1139" t="inlineStr">
        <is>
          <t>fashion_underwear_beach</t>
        </is>
      </c>
      <c r="C1139" t="n">
        <v>2</v>
      </c>
      <c r="D1139" t="n">
        <v>2</v>
      </c>
      <c r="E1139" t="n">
        <v>141.33</v>
      </c>
    </row>
    <row r="1140">
      <c r="A1140" s="19" t="n">
        <v>43282</v>
      </c>
      <c r="B1140" t="inlineStr">
        <is>
          <t>fixed_telephony</t>
        </is>
      </c>
      <c r="C1140" t="n">
        <v>8</v>
      </c>
      <c r="D1140" t="n">
        <v>11</v>
      </c>
      <c r="E1140" t="n">
        <v>9658.18</v>
      </c>
    </row>
    <row r="1141">
      <c r="A1141" s="19" t="n">
        <v>43282</v>
      </c>
      <c r="B1141" t="inlineStr">
        <is>
          <t>flowers</t>
        </is>
      </c>
      <c r="C1141" t="n">
        <v>2</v>
      </c>
      <c r="D1141" t="n">
        <v>2</v>
      </c>
      <c r="E1141" t="n">
        <v>83.36</v>
      </c>
    </row>
    <row r="1142">
      <c r="A1142" s="19" t="n">
        <v>43282</v>
      </c>
      <c r="B1142" t="inlineStr">
        <is>
          <t>food</t>
        </is>
      </c>
      <c r="C1142" t="n">
        <v>59</v>
      </c>
      <c r="D1142" t="n">
        <v>64</v>
      </c>
      <c r="E1142" t="n">
        <v>4401.42</v>
      </c>
    </row>
    <row r="1143">
      <c r="A1143" s="19" t="n">
        <v>43282</v>
      </c>
      <c r="B1143" t="inlineStr">
        <is>
          <t>food_drink</t>
        </is>
      </c>
      <c r="C1143" t="n">
        <v>14</v>
      </c>
      <c r="D1143" t="n">
        <v>17</v>
      </c>
      <c r="E1143" t="n">
        <v>1121.56</v>
      </c>
    </row>
    <row r="1144">
      <c r="A1144" s="19" t="n">
        <v>43282</v>
      </c>
      <c r="B1144" t="inlineStr">
        <is>
          <t>furniture_bedroom</t>
        </is>
      </c>
      <c r="C1144" t="n">
        <v>7</v>
      </c>
      <c r="D1144" t="n">
        <v>10</v>
      </c>
      <c r="E1144" t="n">
        <v>1838.77</v>
      </c>
    </row>
    <row r="1145">
      <c r="A1145" s="19" t="n">
        <v>43282</v>
      </c>
      <c r="B1145" t="inlineStr">
        <is>
          <t>furniture_decor</t>
        </is>
      </c>
      <c r="C1145" t="n">
        <v>343</v>
      </c>
      <c r="D1145" t="n">
        <v>436</v>
      </c>
      <c r="E1145" t="n">
        <v>56992.74000000001</v>
      </c>
    </row>
    <row r="1146">
      <c r="A1146" s="19" t="n">
        <v>43282</v>
      </c>
      <c r="B1146" t="inlineStr">
        <is>
          <t>furniture_living_room</t>
        </is>
      </c>
      <c r="C1146" t="n">
        <v>49</v>
      </c>
      <c r="D1146" t="n">
        <v>54</v>
      </c>
      <c r="E1146" t="n">
        <v>8750.18</v>
      </c>
    </row>
    <row r="1147">
      <c r="A1147" s="19" t="n">
        <v>43282</v>
      </c>
      <c r="B1147" t="inlineStr">
        <is>
          <t>furniture_mattress_and_upholstery</t>
        </is>
      </c>
      <c r="C1147" t="n">
        <v>1</v>
      </c>
      <c r="D1147" t="n">
        <v>1</v>
      </c>
      <c r="E1147" t="n">
        <v>141.83</v>
      </c>
    </row>
    <row r="1148">
      <c r="A1148" s="19" t="n">
        <v>43282</v>
      </c>
      <c r="B1148" t="inlineStr">
        <is>
          <t>garden_tools</t>
        </is>
      </c>
      <c r="C1148" t="n">
        <v>152</v>
      </c>
      <c r="D1148" t="n">
        <v>177</v>
      </c>
      <c r="E1148" t="n">
        <v>30517.22</v>
      </c>
    </row>
    <row r="1149">
      <c r="A1149" s="19" t="n">
        <v>43282</v>
      </c>
      <c r="B1149" t="inlineStr">
        <is>
          <t>health_beauty</t>
        </is>
      </c>
      <c r="C1149" t="n">
        <v>699</v>
      </c>
      <c r="D1149" t="n">
        <v>770</v>
      </c>
      <c r="E1149" t="n">
        <v>120225.04</v>
      </c>
    </row>
    <row r="1150">
      <c r="A1150" s="19" t="n">
        <v>43282</v>
      </c>
      <c r="B1150" t="inlineStr">
        <is>
          <t>home_appliances</t>
        </is>
      </c>
      <c r="C1150" t="n">
        <v>78</v>
      </c>
      <c r="D1150" t="n">
        <v>78</v>
      </c>
      <c r="E1150" t="n">
        <v>6405.16</v>
      </c>
    </row>
    <row r="1151">
      <c r="A1151" s="19" t="n">
        <v>43282</v>
      </c>
      <c r="B1151" t="inlineStr">
        <is>
          <t>home_appliances_2</t>
        </is>
      </c>
      <c r="C1151" t="n">
        <v>22</v>
      </c>
      <c r="D1151" t="n">
        <v>23</v>
      </c>
      <c r="E1151" t="n">
        <v>13772.17</v>
      </c>
    </row>
    <row r="1152">
      <c r="A1152" s="19" t="n">
        <v>43282</v>
      </c>
      <c r="B1152" t="inlineStr">
        <is>
          <t>home_comfort_2</t>
        </is>
      </c>
      <c r="C1152" t="n">
        <v>2</v>
      </c>
      <c r="D1152" t="n">
        <v>3</v>
      </c>
      <c r="E1152" t="n">
        <v>85.44</v>
      </c>
    </row>
    <row r="1153">
      <c r="A1153" s="19" t="n">
        <v>43282</v>
      </c>
      <c r="B1153" t="inlineStr">
        <is>
          <t>home_confort</t>
        </is>
      </c>
      <c r="C1153" t="n">
        <v>23</v>
      </c>
      <c r="D1153" t="n">
        <v>23</v>
      </c>
      <c r="E1153" t="n">
        <v>3467.5</v>
      </c>
    </row>
    <row r="1154">
      <c r="A1154" s="19" t="n">
        <v>43282</v>
      </c>
      <c r="B1154" t="inlineStr">
        <is>
          <t>home_construction</t>
        </is>
      </c>
      <c r="C1154" t="n">
        <v>57</v>
      </c>
      <c r="D1154" t="n">
        <v>60</v>
      </c>
      <c r="E1154" t="n">
        <v>8199.609999999999</v>
      </c>
    </row>
    <row r="1155">
      <c r="A1155" s="19" t="n">
        <v>43282</v>
      </c>
      <c r="B1155" t="inlineStr">
        <is>
          <t>housewares</t>
        </is>
      </c>
      <c r="C1155" t="n">
        <v>462</v>
      </c>
      <c r="D1155" t="n">
        <v>564</v>
      </c>
      <c r="E1155" t="n">
        <v>76944.78999999999</v>
      </c>
    </row>
    <row r="1156">
      <c r="A1156" s="19" t="n">
        <v>43282</v>
      </c>
      <c r="B1156" t="inlineStr">
        <is>
          <t>industry_commerce_and_business</t>
        </is>
      </c>
      <c r="C1156" t="n">
        <v>13</v>
      </c>
      <c r="D1156" t="n">
        <v>14</v>
      </c>
      <c r="E1156" t="n">
        <v>5593.9</v>
      </c>
    </row>
    <row r="1157">
      <c r="A1157" s="19" t="n">
        <v>43282</v>
      </c>
      <c r="B1157" t="inlineStr">
        <is>
          <t>kitchen_dining_laundry_garden_furniture</t>
        </is>
      </c>
      <c r="C1157" t="n">
        <v>20</v>
      </c>
      <c r="D1157" t="n">
        <v>22</v>
      </c>
      <c r="E1157" t="n">
        <v>4527.68</v>
      </c>
    </row>
    <row r="1158">
      <c r="A1158" s="19" t="n">
        <v>43282</v>
      </c>
      <c r="B1158" t="inlineStr">
        <is>
          <t>luggage_accessories</t>
        </is>
      </c>
      <c r="C1158" t="n">
        <v>53</v>
      </c>
      <c r="D1158" t="n">
        <v>54</v>
      </c>
      <c r="E1158" t="n">
        <v>7193.09</v>
      </c>
    </row>
    <row r="1159">
      <c r="A1159" s="19" t="n">
        <v>43282</v>
      </c>
      <c r="B1159" t="inlineStr">
        <is>
          <t>market_place</t>
        </is>
      </c>
      <c r="C1159" t="n">
        <v>4</v>
      </c>
      <c r="D1159" t="n">
        <v>4</v>
      </c>
      <c r="E1159" t="n">
        <v>277.34</v>
      </c>
    </row>
    <row r="1160">
      <c r="A1160" s="19" t="n">
        <v>43282</v>
      </c>
      <c r="B1160" t="inlineStr">
        <is>
          <t>music</t>
        </is>
      </c>
      <c r="C1160" t="n">
        <v>3</v>
      </c>
      <c r="D1160" t="n">
        <v>3</v>
      </c>
      <c r="E1160" t="n">
        <v>893.28</v>
      </c>
    </row>
    <row r="1161">
      <c r="A1161" s="19" t="n">
        <v>43282</v>
      </c>
      <c r="B1161" t="inlineStr">
        <is>
          <t>musical_instruments</t>
        </is>
      </c>
      <c r="C1161" t="n">
        <v>32</v>
      </c>
      <c r="D1161" t="n">
        <v>36</v>
      </c>
      <c r="E1161" t="n">
        <v>9309.469999999999</v>
      </c>
    </row>
    <row r="1162">
      <c r="A1162" s="19" t="n">
        <v>43282</v>
      </c>
      <c r="B1162" t="inlineStr">
        <is>
          <t>office_furniture</t>
        </is>
      </c>
      <c r="C1162" t="n">
        <v>62</v>
      </c>
      <c r="D1162" t="n">
        <v>80</v>
      </c>
      <c r="E1162" t="n">
        <v>16732.73</v>
      </c>
    </row>
    <row r="1163">
      <c r="A1163" s="19" t="n">
        <v>43282</v>
      </c>
      <c r="B1163" t="inlineStr">
        <is>
          <t>party_supplies</t>
        </is>
      </c>
      <c r="C1163" t="n">
        <v>2</v>
      </c>
      <c r="D1163" t="n">
        <v>2</v>
      </c>
      <c r="E1163" t="n">
        <v>84.36</v>
      </c>
    </row>
    <row r="1164">
      <c r="A1164" s="19" t="n">
        <v>43282</v>
      </c>
      <c r="B1164" t="inlineStr">
        <is>
          <t>pc_gamer</t>
        </is>
      </c>
      <c r="C1164" t="n">
        <v>1</v>
      </c>
      <c r="D1164" t="n">
        <v>2</v>
      </c>
      <c r="E1164" t="n">
        <v>457.38</v>
      </c>
    </row>
    <row r="1165">
      <c r="A1165" s="19" t="n">
        <v>43282</v>
      </c>
      <c r="B1165" t="inlineStr">
        <is>
          <t>perfumery</t>
        </is>
      </c>
      <c r="C1165" t="n">
        <v>168</v>
      </c>
      <c r="D1165" t="n">
        <v>199</v>
      </c>
      <c r="E1165" t="n">
        <v>23826.62</v>
      </c>
    </row>
    <row r="1166">
      <c r="A1166" s="19" t="n">
        <v>43282</v>
      </c>
      <c r="B1166" t="inlineStr">
        <is>
          <t>pet_shop</t>
        </is>
      </c>
      <c r="C1166" t="n">
        <v>138</v>
      </c>
      <c r="D1166" t="n">
        <v>158</v>
      </c>
      <c r="E1166" t="n">
        <v>22999.92</v>
      </c>
    </row>
    <row r="1167">
      <c r="A1167" s="19" t="n">
        <v>43282</v>
      </c>
      <c r="B1167" t="inlineStr">
        <is>
          <t>portable_kitchen_food_preparers</t>
        </is>
      </c>
      <c r="C1167" t="n">
        <v>7</v>
      </c>
      <c r="D1167" t="n">
        <v>8</v>
      </c>
      <c r="E1167" t="n">
        <v>276.08</v>
      </c>
    </row>
    <row r="1168">
      <c r="A1168" s="19" t="n">
        <v>43282</v>
      </c>
      <c r="B1168" t="inlineStr">
        <is>
          <t>signaling_and_security</t>
        </is>
      </c>
      <c r="C1168" t="n">
        <v>19</v>
      </c>
      <c r="D1168" t="n">
        <v>29</v>
      </c>
      <c r="E1168" t="n">
        <v>6136.19</v>
      </c>
    </row>
    <row r="1169">
      <c r="A1169" s="19" t="n">
        <v>43282</v>
      </c>
      <c r="B1169" t="inlineStr">
        <is>
          <t>small_appliances</t>
        </is>
      </c>
      <c r="C1169" t="n">
        <v>35</v>
      </c>
      <c r="D1169" t="n">
        <v>42</v>
      </c>
      <c r="E1169" t="n">
        <v>9181.610000000001</v>
      </c>
    </row>
    <row r="1170">
      <c r="A1170" s="19" t="n">
        <v>43282</v>
      </c>
      <c r="B1170" t="inlineStr">
        <is>
          <t>small_appliances_home_oven_and_coffee</t>
        </is>
      </c>
      <c r="C1170" t="n">
        <v>14</v>
      </c>
      <c r="D1170" t="n">
        <v>15</v>
      </c>
      <c r="E1170" t="n">
        <v>5171.360000000001</v>
      </c>
    </row>
    <row r="1171">
      <c r="A1171" s="19" t="n">
        <v>43282</v>
      </c>
      <c r="B1171" t="inlineStr">
        <is>
          <t>sports_leisure</t>
        </is>
      </c>
      <c r="C1171" t="n">
        <v>410</v>
      </c>
      <c r="D1171" t="n">
        <v>460</v>
      </c>
      <c r="E1171" t="n">
        <v>64342.49</v>
      </c>
    </row>
    <row r="1172">
      <c r="A1172" s="19" t="n">
        <v>43282</v>
      </c>
      <c r="B1172" t="inlineStr">
        <is>
          <t>stationery</t>
        </is>
      </c>
      <c r="C1172" t="n">
        <v>168</v>
      </c>
      <c r="D1172" t="n">
        <v>190</v>
      </c>
      <c r="E1172" t="n">
        <v>21451.43</v>
      </c>
    </row>
    <row r="1173">
      <c r="A1173" s="19" t="n">
        <v>43282</v>
      </c>
      <c r="B1173" t="inlineStr">
        <is>
          <t>telephony</t>
        </is>
      </c>
      <c r="C1173" t="n">
        <v>202</v>
      </c>
      <c r="D1173" t="n">
        <v>221</v>
      </c>
      <c r="E1173" t="n">
        <v>30467.49</v>
      </c>
    </row>
    <row r="1174">
      <c r="A1174" s="19" t="n">
        <v>43282</v>
      </c>
      <c r="B1174" t="inlineStr">
        <is>
          <t>toys</t>
        </is>
      </c>
      <c r="C1174" t="n">
        <v>148</v>
      </c>
      <c r="D1174" t="n">
        <v>154</v>
      </c>
      <c r="E1174" t="n">
        <v>20360.84</v>
      </c>
    </row>
    <row r="1175">
      <c r="A1175" s="19" t="n">
        <v>43282</v>
      </c>
      <c r="B1175" t="inlineStr">
        <is>
          <t>unknown</t>
        </is>
      </c>
      <c r="C1175" t="n">
        <v>42</v>
      </c>
      <c r="D1175" t="n">
        <v>47</v>
      </c>
      <c r="E1175" t="n">
        <v>5665.780000000001</v>
      </c>
    </row>
    <row r="1176">
      <c r="A1176" s="19" t="n">
        <v>43282</v>
      </c>
      <c r="B1176" t="inlineStr">
        <is>
          <t>watches_gifts</t>
        </is>
      </c>
      <c r="C1176" t="n">
        <v>507</v>
      </c>
      <c r="D1176" t="n">
        <v>521</v>
      </c>
      <c r="E1176" t="n">
        <v>104902.5</v>
      </c>
    </row>
    <row r="1177">
      <c r="A1177" s="19" t="n">
        <v>43313</v>
      </c>
      <c r="B1177" t="inlineStr">
        <is>
          <t>agro_industry_and_commerce</t>
        </is>
      </c>
      <c r="C1177" t="n">
        <v>14</v>
      </c>
      <c r="D1177" t="n">
        <v>18</v>
      </c>
      <c r="E1177" t="n">
        <v>5543.74</v>
      </c>
    </row>
    <row r="1178">
      <c r="A1178" s="19" t="n">
        <v>43313</v>
      </c>
      <c r="B1178" t="inlineStr">
        <is>
          <t>air_conditioning</t>
        </is>
      </c>
      <c r="C1178" t="n">
        <v>17</v>
      </c>
      <c r="D1178" t="n">
        <v>21</v>
      </c>
      <c r="E1178" t="n">
        <v>4007.82</v>
      </c>
    </row>
    <row r="1179">
      <c r="A1179" s="19" t="n">
        <v>43313</v>
      </c>
      <c r="B1179" t="inlineStr">
        <is>
          <t>art</t>
        </is>
      </c>
      <c r="C1179" t="n">
        <v>18</v>
      </c>
      <c r="D1179" t="n">
        <v>18</v>
      </c>
      <c r="E1179" t="n">
        <v>1775.9</v>
      </c>
    </row>
    <row r="1180">
      <c r="A1180" s="19" t="n">
        <v>43313</v>
      </c>
      <c r="B1180" t="inlineStr">
        <is>
          <t>arts_and_craftmanship</t>
        </is>
      </c>
      <c r="C1180" t="n">
        <v>9</v>
      </c>
      <c r="D1180" t="n">
        <v>9</v>
      </c>
      <c r="E1180" t="n">
        <v>1069.05</v>
      </c>
    </row>
    <row r="1181">
      <c r="A1181" s="19" t="n">
        <v>43313</v>
      </c>
      <c r="B1181" t="inlineStr">
        <is>
          <t>audio</t>
        </is>
      </c>
      <c r="C1181" t="n">
        <v>24</v>
      </c>
      <c r="D1181" t="n">
        <v>26</v>
      </c>
      <c r="E1181" t="n">
        <v>2469.1</v>
      </c>
    </row>
    <row r="1182">
      <c r="A1182" s="19" t="n">
        <v>43313</v>
      </c>
      <c r="B1182" t="inlineStr">
        <is>
          <t>auto</t>
        </is>
      </c>
      <c r="C1182" t="n">
        <v>345</v>
      </c>
      <c r="D1182" t="n">
        <v>370</v>
      </c>
      <c r="E1182" t="n">
        <v>52644.35</v>
      </c>
    </row>
    <row r="1183">
      <c r="A1183" s="19" t="n">
        <v>43313</v>
      </c>
      <c r="B1183" t="inlineStr">
        <is>
          <t>baby</t>
        </is>
      </c>
      <c r="C1183" t="n">
        <v>201</v>
      </c>
      <c r="D1183" t="n">
        <v>212</v>
      </c>
      <c r="E1183" t="n">
        <v>25955.19</v>
      </c>
    </row>
    <row r="1184">
      <c r="A1184" s="19" t="n">
        <v>43313</v>
      </c>
      <c r="B1184" t="inlineStr">
        <is>
          <t>bed_bath_table</t>
        </is>
      </c>
      <c r="C1184" t="n">
        <v>555</v>
      </c>
      <c r="D1184" t="n">
        <v>655</v>
      </c>
      <c r="E1184" t="n">
        <v>75008.31999999999</v>
      </c>
    </row>
    <row r="1185">
      <c r="A1185" s="19" t="n">
        <v>43313</v>
      </c>
      <c r="B1185" t="inlineStr">
        <is>
          <t>books_general_interest</t>
        </is>
      </c>
      <c r="C1185" t="n">
        <v>34</v>
      </c>
      <c r="D1185" t="n">
        <v>36</v>
      </c>
      <c r="E1185" t="n">
        <v>2076.99</v>
      </c>
    </row>
    <row r="1186">
      <c r="A1186" s="19" t="n">
        <v>43313</v>
      </c>
      <c r="B1186" t="inlineStr">
        <is>
          <t>books_imported</t>
        </is>
      </c>
      <c r="C1186" t="n">
        <v>1</v>
      </c>
      <c r="D1186" t="n">
        <v>1</v>
      </c>
      <c r="E1186" t="n">
        <v>804.96</v>
      </c>
    </row>
    <row r="1187">
      <c r="A1187" s="19" t="n">
        <v>43313</v>
      </c>
      <c r="B1187" t="inlineStr">
        <is>
          <t>books_technical</t>
        </is>
      </c>
      <c r="C1187" t="n">
        <v>28</v>
      </c>
      <c r="D1187" t="n">
        <v>29</v>
      </c>
      <c r="E1187" t="n">
        <v>1861.38</v>
      </c>
    </row>
    <row r="1188">
      <c r="A1188" s="19" t="n">
        <v>43313</v>
      </c>
      <c r="B1188" t="inlineStr">
        <is>
          <t>christmas_supplies</t>
        </is>
      </c>
      <c r="C1188" t="n">
        <v>10</v>
      </c>
      <c r="D1188" t="n">
        <v>10</v>
      </c>
      <c r="E1188" t="n">
        <v>728.36</v>
      </c>
    </row>
    <row r="1189">
      <c r="A1189" s="19" t="n">
        <v>43313</v>
      </c>
      <c r="B1189" t="inlineStr">
        <is>
          <t>cine_photo</t>
        </is>
      </c>
      <c r="C1189" t="n">
        <v>8</v>
      </c>
      <c r="D1189" t="n">
        <v>9</v>
      </c>
      <c r="E1189" t="n">
        <v>720.4100000000001</v>
      </c>
    </row>
    <row r="1190">
      <c r="A1190" s="19" t="n">
        <v>43313</v>
      </c>
      <c r="B1190" t="inlineStr">
        <is>
          <t>computers</t>
        </is>
      </c>
      <c r="C1190" t="n">
        <v>10</v>
      </c>
      <c r="D1190" t="n">
        <v>12</v>
      </c>
      <c r="E1190" t="n">
        <v>9228.25</v>
      </c>
    </row>
    <row r="1191">
      <c r="A1191" s="19" t="n">
        <v>43313</v>
      </c>
      <c r="B1191" t="inlineStr">
        <is>
          <t>computers_accessories</t>
        </is>
      </c>
      <c r="C1191" t="n">
        <v>380</v>
      </c>
      <c r="D1191" t="n">
        <v>415</v>
      </c>
      <c r="E1191" t="n">
        <v>47886.86</v>
      </c>
    </row>
    <row r="1192">
      <c r="A1192" s="19" t="n">
        <v>43313</v>
      </c>
      <c r="B1192" t="inlineStr">
        <is>
          <t>consoles_games</t>
        </is>
      </c>
      <c r="C1192" t="n">
        <v>53</v>
      </c>
      <c r="D1192" t="n">
        <v>59</v>
      </c>
      <c r="E1192" t="n">
        <v>5332.57</v>
      </c>
    </row>
    <row r="1193">
      <c r="A1193" s="19" t="n">
        <v>43313</v>
      </c>
      <c r="B1193" t="inlineStr">
        <is>
          <t>construction_tools_construction</t>
        </is>
      </c>
      <c r="C1193" t="n">
        <v>124</v>
      </c>
      <c r="D1193" t="n">
        <v>162</v>
      </c>
      <c r="E1193" t="n">
        <v>25925.05</v>
      </c>
    </row>
    <row r="1194">
      <c r="A1194" s="19" t="n">
        <v>43313</v>
      </c>
      <c r="B1194" t="inlineStr">
        <is>
          <t>construction_tools_lights</t>
        </is>
      </c>
      <c r="C1194" t="n">
        <v>56</v>
      </c>
      <c r="D1194" t="n">
        <v>62</v>
      </c>
      <c r="E1194" t="n">
        <v>9888.59</v>
      </c>
    </row>
    <row r="1195">
      <c r="A1195" s="19" t="n">
        <v>43313</v>
      </c>
      <c r="B1195" t="inlineStr">
        <is>
          <t>construction_tools_safety</t>
        </is>
      </c>
      <c r="C1195" t="n">
        <v>21</v>
      </c>
      <c r="D1195" t="n">
        <v>25</v>
      </c>
      <c r="E1195" t="n">
        <v>4486.68</v>
      </c>
    </row>
    <row r="1196">
      <c r="A1196" s="19" t="n">
        <v>43313</v>
      </c>
      <c r="B1196" t="inlineStr">
        <is>
          <t>cool_stuff</t>
        </is>
      </c>
      <c r="C1196" t="n">
        <v>116</v>
      </c>
      <c r="D1196" t="n">
        <v>119</v>
      </c>
      <c r="E1196" t="n">
        <v>18459.58</v>
      </c>
    </row>
    <row r="1197">
      <c r="A1197" s="19" t="n">
        <v>43313</v>
      </c>
      <c r="B1197" t="inlineStr">
        <is>
          <t>costruction_tools_garden</t>
        </is>
      </c>
      <c r="C1197" t="n">
        <v>19</v>
      </c>
      <c r="D1197" t="n">
        <v>23</v>
      </c>
      <c r="E1197" t="n">
        <v>4294.49</v>
      </c>
    </row>
    <row r="1198">
      <c r="A1198" s="19" t="n">
        <v>43313</v>
      </c>
      <c r="B1198" t="inlineStr">
        <is>
          <t>costruction_tools_tools</t>
        </is>
      </c>
      <c r="C1198" t="n">
        <v>14</v>
      </c>
      <c r="D1198" t="n">
        <v>14</v>
      </c>
      <c r="E1198" t="n">
        <v>1497.04</v>
      </c>
    </row>
    <row r="1199">
      <c r="A1199" s="19" t="n">
        <v>43313</v>
      </c>
      <c r="B1199" t="inlineStr">
        <is>
          <t>diapers_and_hygiene</t>
        </is>
      </c>
      <c r="C1199" t="n">
        <v>3</v>
      </c>
      <c r="D1199" t="n">
        <v>3</v>
      </c>
      <c r="E1199" t="n">
        <v>276.93</v>
      </c>
    </row>
    <row r="1200">
      <c r="A1200" s="19" t="n">
        <v>43313</v>
      </c>
      <c r="B1200" t="inlineStr">
        <is>
          <t>drinks</t>
        </is>
      </c>
      <c r="C1200" t="n">
        <v>24</v>
      </c>
      <c r="D1200" t="n">
        <v>27</v>
      </c>
      <c r="E1200" t="n">
        <v>1825.68</v>
      </c>
    </row>
    <row r="1201">
      <c r="A1201" s="19" t="n">
        <v>43313</v>
      </c>
      <c r="B1201" t="inlineStr">
        <is>
          <t>dvds_blu_ray</t>
        </is>
      </c>
      <c r="C1201" t="n">
        <v>1</v>
      </c>
      <c r="D1201" t="n">
        <v>1</v>
      </c>
      <c r="E1201" t="n">
        <v>16.29</v>
      </c>
    </row>
    <row r="1202">
      <c r="A1202" s="19" t="n">
        <v>43313</v>
      </c>
      <c r="B1202" t="inlineStr">
        <is>
          <t>electronics</t>
        </is>
      </c>
      <c r="C1202" t="n">
        <v>114</v>
      </c>
      <c r="D1202" t="n">
        <v>119</v>
      </c>
      <c r="E1202" t="n">
        <v>12924.6</v>
      </c>
    </row>
    <row r="1203">
      <c r="A1203" s="19" t="n">
        <v>43313</v>
      </c>
      <c r="B1203" t="inlineStr">
        <is>
          <t>fashio_female_clothing</t>
        </is>
      </c>
      <c r="C1203" t="n">
        <v>2</v>
      </c>
      <c r="D1203" t="n">
        <v>3</v>
      </c>
      <c r="E1203" t="n">
        <v>169.13</v>
      </c>
    </row>
    <row r="1204">
      <c r="A1204" s="19" t="n">
        <v>43313</v>
      </c>
      <c r="B1204" t="inlineStr">
        <is>
          <t>fashion_bags_accessories</t>
        </is>
      </c>
      <c r="C1204" t="n">
        <v>121</v>
      </c>
      <c r="D1204" t="n">
        <v>126</v>
      </c>
      <c r="E1204" t="n">
        <v>9970.4</v>
      </c>
    </row>
    <row r="1205">
      <c r="A1205" s="19" t="n">
        <v>43313</v>
      </c>
      <c r="B1205" t="inlineStr">
        <is>
          <t>fashion_male_clothing</t>
        </is>
      </c>
      <c r="C1205" t="n">
        <v>3</v>
      </c>
      <c r="D1205" t="n">
        <v>3</v>
      </c>
      <c r="E1205" t="n">
        <v>466.98</v>
      </c>
    </row>
    <row r="1206">
      <c r="A1206" s="19" t="n">
        <v>43313</v>
      </c>
      <c r="B1206" t="inlineStr">
        <is>
          <t>fashion_shoes</t>
        </is>
      </c>
      <c r="C1206" t="n">
        <v>3</v>
      </c>
      <c r="D1206" t="n">
        <v>3</v>
      </c>
      <c r="E1206" t="n">
        <v>577.21</v>
      </c>
    </row>
    <row r="1207">
      <c r="A1207" s="19" t="n">
        <v>43313</v>
      </c>
      <c r="B1207" t="inlineStr">
        <is>
          <t>fashion_sport</t>
        </is>
      </c>
      <c r="C1207" t="n">
        <v>1</v>
      </c>
      <c r="D1207" t="n">
        <v>1</v>
      </c>
      <c r="E1207" t="n">
        <v>83.05</v>
      </c>
    </row>
    <row r="1208">
      <c r="A1208" s="19" t="n">
        <v>43313</v>
      </c>
      <c r="B1208" t="inlineStr">
        <is>
          <t>fashion_underwear_beach</t>
        </is>
      </c>
      <c r="C1208" t="n">
        <v>1</v>
      </c>
      <c r="D1208" t="n">
        <v>1</v>
      </c>
      <c r="E1208" t="n">
        <v>173.78</v>
      </c>
    </row>
    <row r="1209">
      <c r="A1209" s="19" t="n">
        <v>43313</v>
      </c>
      <c r="B1209" t="inlineStr">
        <is>
          <t>fixed_telephony</t>
        </is>
      </c>
      <c r="C1209" t="n">
        <v>10</v>
      </c>
      <c r="D1209" t="n">
        <v>10</v>
      </c>
      <c r="E1209" t="n">
        <v>2891.02</v>
      </c>
    </row>
    <row r="1210">
      <c r="A1210" s="19" t="n">
        <v>43313</v>
      </c>
      <c r="B1210" t="inlineStr">
        <is>
          <t>food</t>
        </is>
      </c>
      <c r="C1210" t="n">
        <v>102</v>
      </c>
      <c r="D1210" t="n">
        <v>115</v>
      </c>
      <c r="E1210" t="n">
        <v>9571.129999999999</v>
      </c>
    </row>
    <row r="1211">
      <c r="A1211" s="19" t="n">
        <v>43313</v>
      </c>
      <c r="B1211" t="inlineStr">
        <is>
          <t>food_drink</t>
        </is>
      </c>
      <c r="C1211" t="n">
        <v>16</v>
      </c>
      <c r="D1211" t="n">
        <v>21</v>
      </c>
      <c r="E1211" t="n">
        <v>1340.39</v>
      </c>
    </row>
    <row r="1212">
      <c r="A1212" s="19" t="n">
        <v>43313</v>
      </c>
      <c r="B1212" t="inlineStr">
        <is>
          <t>furniture_bedroom</t>
        </is>
      </c>
      <c r="C1212" t="n">
        <v>10</v>
      </c>
      <c r="D1212" t="n">
        <v>12</v>
      </c>
      <c r="E1212" t="n">
        <v>2819.88</v>
      </c>
    </row>
    <row r="1213">
      <c r="A1213" s="19" t="n">
        <v>43313</v>
      </c>
      <c r="B1213" t="inlineStr">
        <is>
          <t>furniture_decor</t>
        </is>
      </c>
      <c r="C1213" t="n">
        <v>341</v>
      </c>
      <c r="D1213" t="n">
        <v>430</v>
      </c>
      <c r="E1213" t="n">
        <v>51723.05</v>
      </c>
    </row>
    <row r="1214">
      <c r="A1214" s="19" t="n">
        <v>43313</v>
      </c>
      <c r="B1214" t="inlineStr">
        <is>
          <t>furniture_living_room</t>
        </is>
      </c>
      <c r="C1214" t="n">
        <v>38</v>
      </c>
      <c r="D1214" t="n">
        <v>40</v>
      </c>
      <c r="E1214" t="n">
        <v>6690.29</v>
      </c>
    </row>
    <row r="1215">
      <c r="A1215" s="19" t="n">
        <v>43313</v>
      </c>
      <c r="B1215" t="inlineStr">
        <is>
          <t>garden_tools</t>
        </is>
      </c>
      <c r="C1215" t="n">
        <v>120</v>
      </c>
      <c r="D1215" t="n">
        <v>136</v>
      </c>
      <c r="E1215" t="n">
        <v>20238.09</v>
      </c>
    </row>
    <row r="1216">
      <c r="A1216" s="19" t="n">
        <v>43313</v>
      </c>
      <c r="B1216" t="inlineStr">
        <is>
          <t>health_beauty</t>
        </is>
      </c>
      <c r="C1216" t="n">
        <v>765</v>
      </c>
      <c r="D1216" t="n">
        <v>835</v>
      </c>
      <c r="E1216" t="n">
        <v>135644.51</v>
      </c>
    </row>
    <row r="1217">
      <c r="A1217" s="19" t="n">
        <v>43313</v>
      </c>
      <c r="B1217" t="inlineStr">
        <is>
          <t>home_appliances</t>
        </is>
      </c>
      <c r="C1217" t="n">
        <v>62</v>
      </c>
      <c r="D1217" t="n">
        <v>63</v>
      </c>
      <c r="E1217" t="n">
        <v>7745.93</v>
      </c>
    </row>
    <row r="1218">
      <c r="A1218" s="19" t="n">
        <v>43313</v>
      </c>
      <c r="B1218" t="inlineStr">
        <is>
          <t>home_appliances_2</t>
        </is>
      </c>
      <c r="C1218" t="n">
        <v>14</v>
      </c>
      <c r="D1218" t="n">
        <v>14</v>
      </c>
      <c r="E1218" t="n">
        <v>8248.52</v>
      </c>
    </row>
    <row r="1219">
      <c r="A1219" s="19" t="n">
        <v>43313</v>
      </c>
      <c r="B1219" t="inlineStr">
        <is>
          <t>home_confort</t>
        </is>
      </c>
      <c r="C1219" t="n">
        <v>15</v>
      </c>
      <c r="D1219" t="n">
        <v>16</v>
      </c>
      <c r="E1219" t="n">
        <v>2571.88</v>
      </c>
    </row>
    <row r="1220">
      <c r="A1220" s="19" t="n">
        <v>43313</v>
      </c>
      <c r="B1220" t="inlineStr">
        <is>
          <t>home_construction</t>
        </is>
      </c>
      <c r="C1220" t="n">
        <v>44</v>
      </c>
      <c r="D1220" t="n">
        <v>48</v>
      </c>
      <c r="E1220" t="n">
        <v>7537.01</v>
      </c>
    </row>
    <row r="1221">
      <c r="A1221" s="19" t="n">
        <v>43313</v>
      </c>
      <c r="B1221" t="inlineStr">
        <is>
          <t>housewares</t>
        </is>
      </c>
      <c r="C1221" t="n">
        <v>549</v>
      </c>
      <c r="D1221" t="n">
        <v>616</v>
      </c>
      <c r="E1221" t="n">
        <v>72559.81</v>
      </c>
    </row>
    <row r="1222">
      <c r="A1222" s="19" t="n">
        <v>43313</v>
      </c>
      <c r="B1222" t="inlineStr">
        <is>
          <t>industry_commerce_and_business</t>
        </is>
      </c>
      <c r="C1222" t="n">
        <v>9</v>
      </c>
      <c r="D1222" t="n">
        <v>10</v>
      </c>
      <c r="E1222" t="n">
        <v>2744.05</v>
      </c>
    </row>
    <row r="1223">
      <c r="A1223" s="19" t="n">
        <v>43313</v>
      </c>
      <c r="B1223" t="inlineStr">
        <is>
          <t>kitchen_dining_laundry_garden_furniture</t>
        </is>
      </c>
      <c r="C1223" t="n">
        <v>19</v>
      </c>
      <c r="D1223" t="n">
        <v>20</v>
      </c>
      <c r="E1223" t="n">
        <v>2589.56</v>
      </c>
    </row>
    <row r="1224">
      <c r="A1224" s="19" t="n">
        <v>43313</v>
      </c>
      <c r="B1224" t="inlineStr">
        <is>
          <t>luggage_accessories</t>
        </is>
      </c>
      <c r="C1224" t="n">
        <v>62</v>
      </c>
      <c r="D1224" t="n">
        <v>64</v>
      </c>
      <c r="E1224" t="n">
        <v>7983.860000000001</v>
      </c>
    </row>
    <row r="1225">
      <c r="A1225" s="19" t="n">
        <v>43313</v>
      </c>
      <c r="B1225" t="inlineStr">
        <is>
          <t>market_place</t>
        </is>
      </c>
      <c r="C1225" t="n">
        <v>8</v>
      </c>
      <c r="D1225" t="n">
        <v>8</v>
      </c>
      <c r="E1225" t="n">
        <v>1107.97</v>
      </c>
    </row>
    <row r="1226">
      <c r="A1226" s="19" t="n">
        <v>43313</v>
      </c>
      <c r="B1226" t="inlineStr">
        <is>
          <t>music</t>
        </is>
      </c>
      <c r="C1226" t="n">
        <v>6</v>
      </c>
      <c r="D1226" t="n">
        <v>6</v>
      </c>
      <c r="E1226" t="n">
        <v>582.61</v>
      </c>
    </row>
    <row r="1227">
      <c r="A1227" s="19" t="n">
        <v>43313</v>
      </c>
      <c r="B1227" t="inlineStr">
        <is>
          <t>musical_instruments</t>
        </is>
      </c>
      <c r="C1227" t="n">
        <v>39</v>
      </c>
      <c r="D1227" t="n">
        <v>41</v>
      </c>
      <c r="E1227" t="n">
        <v>11705.45</v>
      </c>
    </row>
    <row r="1228">
      <c r="A1228" s="19" t="n">
        <v>43313</v>
      </c>
      <c r="B1228" t="inlineStr">
        <is>
          <t>office_furniture</t>
        </is>
      </c>
      <c r="C1228" t="n">
        <v>24</v>
      </c>
      <c r="D1228" t="n">
        <v>30</v>
      </c>
      <c r="E1228" t="n">
        <v>8386.67</v>
      </c>
    </row>
    <row r="1229">
      <c r="A1229" s="19" t="n">
        <v>43313</v>
      </c>
      <c r="B1229" t="inlineStr">
        <is>
          <t>party_supplies</t>
        </is>
      </c>
      <c r="C1229" t="n">
        <v>14</v>
      </c>
      <c r="D1229" t="n">
        <v>14</v>
      </c>
      <c r="E1229" t="n">
        <v>1590.42</v>
      </c>
    </row>
    <row r="1230">
      <c r="A1230" s="19" t="n">
        <v>43313</v>
      </c>
      <c r="B1230" t="inlineStr">
        <is>
          <t>pc_gamer</t>
        </is>
      </c>
      <c r="C1230" t="n">
        <v>1</v>
      </c>
      <c r="D1230" t="n">
        <v>1</v>
      </c>
      <c r="E1230" t="n">
        <v>238.63</v>
      </c>
    </row>
    <row r="1231">
      <c r="A1231" s="19" t="n">
        <v>43313</v>
      </c>
      <c r="B1231" t="inlineStr">
        <is>
          <t>perfumery</t>
        </is>
      </c>
      <c r="C1231" t="n">
        <v>203</v>
      </c>
      <c r="D1231" t="n">
        <v>218</v>
      </c>
      <c r="E1231" t="n">
        <v>28402.97</v>
      </c>
    </row>
    <row r="1232">
      <c r="A1232" s="19" t="n">
        <v>43313</v>
      </c>
      <c r="B1232" t="inlineStr">
        <is>
          <t>pet_shop</t>
        </is>
      </c>
      <c r="C1232" t="n">
        <v>166</v>
      </c>
      <c r="D1232" t="n">
        <v>198</v>
      </c>
      <c r="E1232" t="n">
        <v>28492.46</v>
      </c>
    </row>
    <row r="1233">
      <c r="A1233" s="19" t="n">
        <v>43313</v>
      </c>
      <c r="B1233" t="inlineStr">
        <is>
          <t>portable_kitchen_food_preparers</t>
        </is>
      </c>
      <c r="C1233" t="n">
        <v>4</v>
      </c>
      <c r="D1233" t="n">
        <v>4</v>
      </c>
      <c r="E1233" t="n">
        <v>1905.56</v>
      </c>
    </row>
    <row r="1234">
      <c r="A1234" s="19" t="n">
        <v>43313</v>
      </c>
      <c r="B1234" t="inlineStr">
        <is>
          <t>signaling_and_security</t>
        </is>
      </c>
      <c r="C1234" t="n">
        <v>16</v>
      </c>
      <c r="D1234" t="n">
        <v>22</v>
      </c>
      <c r="E1234" t="n">
        <v>2158.67</v>
      </c>
    </row>
    <row r="1235">
      <c r="A1235" s="19" t="n">
        <v>43313</v>
      </c>
      <c r="B1235" t="inlineStr">
        <is>
          <t>small_appliances</t>
        </is>
      </c>
      <c r="C1235" t="n">
        <v>23</v>
      </c>
      <c r="D1235" t="n">
        <v>23</v>
      </c>
      <c r="E1235" t="n">
        <v>6841.09</v>
      </c>
    </row>
    <row r="1236">
      <c r="A1236" s="19" t="n">
        <v>43313</v>
      </c>
      <c r="B1236" t="inlineStr">
        <is>
          <t>small_appliances_home_oven_and_coffee</t>
        </is>
      </c>
      <c r="C1236" t="n">
        <v>17</v>
      </c>
      <c r="D1236" t="n">
        <v>17</v>
      </c>
      <c r="E1236" t="n">
        <v>3391.13</v>
      </c>
    </row>
    <row r="1237">
      <c r="A1237" s="19" t="n">
        <v>43313</v>
      </c>
      <c r="B1237" t="inlineStr">
        <is>
          <t>sports_leisure</t>
        </is>
      </c>
      <c r="C1237" t="n">
        <v>432</v>
      </c>
      <c r="D1237" t="n">
        <v>471</v>
      </c>
      <c r="E1237" t="n">
        <v>59670.45</v>
      </c>
    </row>
    <row r="1238">
      <c r="A1238" s="19" t="n">
        <v>43313</v>
      </c>
      <c r="B1238" t="inlineStr">
        <is>
          <t>stationery</t>
        </is>
      </c>
      <c r="C1238" t="n">
        <v>158</v>
      </c>
      <c r="D1238" t="n">
        <v>169</v>
      </c>
      <c r="E1238" t="n">
        <v>18849.12</v>
      </c>
    </row>
    <row r="1239">
      <c r="A1239" s="19" t="n">
        <v>43313</v>
      </c>
      <c r="B1239" t="inlineStr">
        <is>
          <t>telephony</t>
        </is>
      </c>
      <c r="C1239" t="n">
        <v>240</v>
      </c>
      <c r="D1239" t="n">
        <v>271</v>
      </c>
      <c r="E1239" t="n">
        <v>41427.5</v>
      </c>
    </row>
    <row r="1240">
      <c r="A1240" s="19" t="n">
        <v>43313</v>
      </c>
      <c r="B1240" t="inlineStr">
        <is>
          <t>toys</t>
        </is>
      </c>
      <c r="C1240" t="n">
        <v>151</v>
      </c>
      <c r="D1240" t="n">
        <v>165</v>
      </c>
      <c r="E1240" t="n">
        <v>20191.55</v>
      </c>
    </row>
    <row r="1241">
      <c r="A1241" s="19" t="n">
        <v>43313</v>
      </c>
      <c r="B1241" t="inlineStr">
        <is>
          <t>unknown</t>
        </is>
      </c>
      <c r="C1241" t="n">
        <v>29</v>
      </c>
      <c r="D1241" t="n">
        <v>31</v>
      </c>
      <c r="E1241" t="n">
        <v>2690.84</v>
      </c>
    </row>
    <row r="1242">
      <c r="A1242" s="19" t="n">
        <v>43313</v>
      </c>
      <c r="B1242" t="inlineStr">
        <is>
          <t>watches_gifts</t>
        </is>
      </c>
      <c r="C1242" t="n">
        <v>387</v>
      </c>
      <c r="D1242" t="n">
        <v>411</v>
      </c>
      <c r="E1242" t="n">
        <v>76810.84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</row>
    <row r="2">
      <c r="A2" t="inlineStr">
        <is>
          <t>AC</t>
        </is>
      </c>
    </row>
    <row r="3">
      <c r="A3" t="inlineStr">
        <is>
          <t>AL</t>
        </is>
      </c>
    </row>
    <row r="4">
      <c r="A4" t="inlineStr">
        <is>
          <t>AM</t>
        </is>
      </c>
    </row>
    <row r="5">
      <c r="A5" t="inlineStr">
        <is>
          <t>AP</t>
        </is>
      </c>
    </row>
    <row r="6">
      <c r="A6" t="inlineStr">
        <is>
          <t>BA</t>
        </is>
      </c>
    </row>
    <row r="7">
      <c r="A7" t="inlineStr">
        <is>
          <t>CE</t>
        </is>
      </c>
    </row>
    <row r="8">
      <c r="A8" t="inlineStr">
        <is>
          <t>DF</t>
        </is>
      </c>
    </row>
    <row r="9">
      <c r="A9" t="inlineStr">
        <is>
          <t>ES</t>
        </is>
      </c>
    </row>
    <row r="10">
      <c r="A10" t="inlineStr">
        <is>
          <t>GO</t>
        </is>
      </c>
    </row>
    <row r="11">
      <c r="A11" t="inlineStr">
        <is>
          <t>MA</t>
        </is>
      </c>
    </row>
    <row r="12">
      <c r="A12" t="inlineStr">
        <is>
          <t>MG</t>
        </is>
      </c>
    </row>
    <row r="13">
      <c r="A13" t="inlineStr">
        <is>
          <t>MS</t>
        </is>
      </c>
    </row>
    <row r="14">
      <c r="A14" t="inlineStr">
        <is>
          <t>MT</t>
        </is>
      </c>
    </row>
    <row r="15">
      <c r="A15" t="inlineStr">
        <is>
          <t>PA</t>
        </is>
      </c>
    </row>
    <row r="16">
      <c r="A16" t="inlineStr">
        <is>
          <t>PB</t>
        </is>
      </c>
    </row>
    <row r="17">
      <c r="A17" t="inlineStr">
        <is>
          <t>PE</t>
        </is>
      </c>
    </row>
    <row r="18">
      <c r="A18" t="inlineStr">
        <is>
          <t>PI</t>
        </is>
      </c>
    </row>
    <row r="19">
      <c r="A19" t="inlineStr">
        <is>
          <t>PR</t>
        </is>
      </c>
    </row>
    <row r="20">
      <c r="A20" t="inlineStr">
        <is>
          <t>RJ</t>
        </is>
      </c>
    </row>
    <row r="21">
      <c r="A21" t="inlineStr">
        <is>
          <t>RN</t>
        </is>
      </c>
    </row>
    <row r="22">
      <c r="A22" t="inlineStr">
        <is>
          <t>RO</t>
        </is>
      </c>
    </row>
    <row r="23">
      <c r="A23" t="inlineStr">
        <is>
          <t>RR</t>
        </is>
      </c>
    </row>
    <row r="24">
      <c r="A24" t="inlineStr">
        <is>
          <t>RS</t>
        </is>
      </c>
    </row>
    <row r="25">
      <c r="A25" t="inlineStr">
        <is>
          <t>SC</t>
        </is>
      </c>
    </row>
    <row r="26">
      <c r="A26" t="inlineStr">
        <is>
          <t>SE</t>
        </is>
      </c>
    </row>
    <row r="27">
      <c r="A27" t="inlineStr">
        <is>
          <t>SP</t>
        </is>
      </c>
    </row>
    <row r="28">
      <c r="A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2026-10-12T08:12:57Z</dcterms:created>
  <dcterms:modified xsi:type="dcterms:W3CDTF">2026-10-12T08:12:57Z</dcterms:modified>
</cp:coreProperties>
</file>